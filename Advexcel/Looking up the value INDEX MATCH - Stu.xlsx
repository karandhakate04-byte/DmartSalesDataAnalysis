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karan/Desktop/EXCEL ITVEDANT/Advexcel/"/>
    </mc:Choice>
  </mc:AlternateContent>
  <xr:revisionPtr revIDLastSave="0" documentId="13_ncr:1_{2FCE32CF-70C6-0741-A9D0-D916E5029406}" xr6:coauthVersionLast="47" xr6:coauthVersionMax="47" xr10:uidLastSave="{00000000-0000-0000-0000-000000000000}"/>
  <bookViews>
    <workbookView xWindow="0" yWindow="660" windowWidth="29400" windowHeight="18460" activeTab="5" xr2:uid="{00000000-000D-0000-FFFF-FFFF00000000}"/>
  </bookViews>
  <sheets>
    <sheet name="INDEX" sheetId="2" r:id="rId1"/>
    <sheet name="MATCH" sheetId="3" r:id="rId2"/>
    <sheet name="INDEX MATCH" sheetId="1" r:id="rId3"/>
    <sheet name="VLOOKUP" sheetId="4" r:id="rId4"/>
    <sheet name="HLOOKUP" sheetId="5" r:id="rId5"/>
    <sheet name="HLOOKUP another sheet" sheetId="6" r:id="rId6"/>
    <sheet name="OFFSET" sheetId="7" r:id="rId7"/>
    <sheet name="OFFSET-1" sheetId="8" r:id="rId8"/>
  </sheets>
  <definedNames>
    <definedName name="Diameter">HLOOKUP!$B$18:$J$21</definedName>
    <definedName name="planetall">HLOOKUP!$B$18:$B$21</definedName>
    <definedName name="Temp">'HLOOKUP another sheet'!$A$1:$I$3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6" l="1"/>
  <c r="D3" i="6"/>
  <c r="E3" i="6"/>
  <c r="F3" i="6"/>
  <c r="G3" i="6"/>
  <c r="H3" i="6"/>
  <c r="B3" i="6"/>
  <c r="C21" i="5"/>
  <c r="I21" i="5"/>
  <c r="J21" i="5"/>
  <c r="D21" i="5"/>
  <c r="E21" i="5"/>
  <c r="C26" i="5" s="1"/>
  <c r="F21" i="5"/>
  <c r="G21" i="5"/>
  <c r="H21" i="5"/>
  <c r="C24" i="5"/>
  <c r="C25" i="5"/>
  <c r="H26" i="2" a="1"/>
  <c r="H26" i="2" s="1"/>
  <c r="I3" i="6" l="1"/>
  <c r="C22" i="7"/>
  <c r="I17" i="3"/>
  <c r="G5" i="1" l="1"/>
  <c r="G8" i="1" s="1"/>
  <c r="G7" i="1"/>
  <c r="G6" i="1"/>
  <c r="F18" i="3"/>
  <c r="F19" i="3"/>
  <c r="F20" i="3"/>
  <c r="F21" i="3"/>
  <c r="F22" i="3"/>
  <c r="F17"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<sst xmlns="http://schemas.openxmlformats.org/spreadsheetml/2006/main" count="191" uniqueCount="118">
  <si>
    <t>Streaming Service</t>
  </si>
  <si>
    <t>Q1</t>
  </si>
  <si>
    <t>Q2</t>
  </si>
  <si>
    <t>Q3</t>
  </si>
  <si>
    <t>Q4</t>
  </si>
  <si>
    <t>Disney</t>
  </si>
  <si>
    <t>Netflix</t>
  </si>
  <si>
    <t>TikTok</t>
  </si>
  <si>
    <t>YouTube</t>
  </si>
  <si>
    <t>Service</t>
  </si>
  <si>
    <t>Quarter</t>
  </si>
  <si>
    <t>Revenue</t>
  </si>
  <si>
    <t>The INDEX array form returns the value of a certain element in a range or array based on the row and column numbers you specify.</t>
  </si>
  <si>
    <t>INDEX(array, row_num, [column_num])</t>
  </si>
  <si>
    <r>
      <rPr>
        <b/>
        <sz val="11"/>
        <rFont val="Calibri"/>
        <family val="2"/>
        <scheme val="minor"/>
      </rPr>
      <t>array </t>
    </r>
    <r>
      <rPr>
        <sz val="11"/>
        <rFont val="Calibri"/>
        <family val="2"/>
        <scheme val="minor"/>
      </rPr>
      <t>- is a range of cells, named range, or table.</t>
    </r>
  </si>
  <si>
    <r>
      <rPr>
        <b/>
        <sz val="11"/>
        <rFont val="Calibri"/>
        <family val="2"/>
        <scheme val="minor"/>
      </rPr>
      <t>row_num</t>
    </r>
    <r>
      <rPr>
        <sz val="11"/>
        <rFont val="Calibri"/>
        <family val="2"/>
        <scheme val="minor"/>
      </rPr>
      <t> - is the row number in the array from which to return a value. If row_num is omitted, column_num is required.</t>
    </r>
  </si>
  <si>
    <r>
      <rPr>
        <b/>
        <sz val="11"/>
        <rFont val="Calibri"/>
        <family val="2"/>
        <scheme val="minor"/>
      </rPr>
      <t>column_num</t>
    </r>
    <r>
      <rPr>
        <sz val="11"/>
        <rFont val="Calibri"/>
        <family val="2"/>
        <scheme val="minor"/>
      </rPr>
      <t> - is the column number from which to return a value. If column_num is omitted, row_num is required.</t>
    </r>
  </si>
  <si>
    <t>Product</t>
  </si>
  <si>
    <t>Week 1</t>
  </si>
  <si>
    <t>Week 2</t>
  </si>
  <si>
    <t>Week 3</t>
  </si>
  <si>
    <t>Week 4</t>
  </si>
  <si>
    <t>Paint</t>
  </si>
  <si>
    <t>Brush</t>
  </si>
  <si>
    <t>Rope</t>
  </si>
  <si>
    <t>Bolts</t>
  </si>
  <si>
    <t>Week</t>
  </si>
  <si>
    <t>Items</t>
  </si>
  <si>
    <t>Primer</t>
  </si>
  <si>
    <t>Bushes</t>
  </si>
  <si>
    <t>INDEX array form</t>
  </si>
  <si>
    <t>INDEX reference form</t>
  </si>
  <si>
    <t>INDEX(reference, row_num, [column_num], [area_num] )</t>
  </si>
  <si>
    <t>If you are entering more than one range, separate the ranges by commas and enclose the reference argument in parentheses, for example (A1:B5, D1:F5).</t>
  </si>
  <si>
    <t>If each range in reference contains only one row or column, the corresponding row_num or column_num argument is optional.</t>
  </si>
  <si>
    <r>
      <rPr>
        <b/>
        <sz val="11"/>
        <color theme="1"/>
        <rFont val="Calibri"/>
        <family val="2"/>
        <scheme val="minor"/>
      </rPr>
      <t>reference</t>
    </r>
    <r>
      <rPr>
        <sz val="11"/>
        <color theme="1"/>
        <rFont val="Calibri"/>
        <family val="2"/>
        <scheme val="minor"/>
      </rPr>
      <t> - is one or several ranges.</t>
    </r>
  </si>
  <si>
    <r>
      <rPr>
        <b/>
        <sz val="11"/>
        <color theme="1"/>
        <rFont val="Calibri"/>
        <family val="2"/>
        <scheme val="minor"/>
      </rPr>
      <t>row_num</t>
    </r>
    <r>
      <rPr>
        <sz val="11"/>
        <color theme="1"/>
        <rFont val="Calibri"/>
        <family val="2"/>
        <scheme val="minor"/>
      </rPr>
      <t> - the row number in the range from which to return a cell reference, it's similar to the array form.</t>
    </r>
  </si>
  <si>
    <r>
      <rPr>
        <b/>
        <sz val="11"/>
        <color theme="1"/>
        <rFont val="Calibri"/>
        <family val="2"/>
        <scheme val="minor"/>
      </rPr>
      <t>column_num</t>
    </r>
    <r>
      <rPr>
        <sz val="11"/>
        <color theme="1"/>
        <rFont val="Calibri"/>
        <family val="2"/>
        <scheme val="minor"/>
      </rPr>
      <t> - the column number from which to return a cell reference, also works similarly to the array form.</t>
    </r>
  </si>
  <si>
    <r>
      <rPr>
        <b/>
        <sz val="11"/>
        <color theme="1"/>
        <rFont val="Calibri"/>
        <family val="2"/>
        <scheme val="minor"/>
      </rPr>
      <t>area_num </t>
    </r>
    <r>
      <rPr>
        <sz val="11"/>
        <color theme="1"/>
        <rFont val="Calibri"/>
        <family val="2"/>
        <scheme val="minor"/>
      </rPr>
      <t>- an optional parameter that specifies which range from the reference argument to use. If omitted, the INDEX formula will return the result for the first range listed in reference.</t>
    </r>
  </si>
  <si>
    <t>The MATCH function in Excel searches for a specified value in a range of cells, and returns the relative position of that value.</t>
  </si>
  <si>
    <t>MATCH(lookup_value, lookup_array, [match_type])</t>
  </si>
  <si>
    <t>1 or omitted (default) - approximate match (closest smaller). Finds the largest value in the lookup array that is less than or equal to the lookup value. Requires sorting the lookup array in ascending order, from smallest to largest or from A to Z.</t>
  </si>
  <si>
    <t>0 - exact match. Finds the first value in the array that is exactly equal to the lookup value. No sorting is required.</t>
  </si>
  <si>
    <t>-1 - approximate match (closest larger). Finds the smallest value that is greater than or equal to the lookup value. The lookup array should be sorted in descending order, from largest to smallest or from Z to A.</t>
  </si>
  <si>
    <r>
      <rPr>
        <b/>
        <sz val="11"/>
        <color theme="1"/>
        <rFont val="Calibri"/>
        <family val="2"/>
        <scheme val="minor"/>
      </rPr>
      <t>Lookup_value</t>
    </r>
    <r>
      <rPr>
        <sz val="11"/>
        <color theme="1"/>
        <rFont val="Calibri"/>
        <family val="2"/>
        <scheme val="minor"/>
      </rPr>
      <t> (required) - the value you want to find. It can be a numeric, text or logical value as well as a cell reference.</t>
    </r>
  </si>
  <si>
    <r>
      <rPr>
        <b/>
        <sz val="11"/>
        <color theme="1"/>
        <rFont val="Calibri"/>
        <family val="2"/>
        <scheme val="minor"/>
      </rPr>
      <t>Lookup_array</t>
    </r>
    <r>
      <rPr>
        <sz val="11"/>
        <color theme="1"/>
        <rFont val="Calibri"/>
        <family val="2"/>
        <scheme val="minor"/>
      </rPr>
      <t> (required) - the range of cells to search in.</t>
    </r>
  </si>
  <si>
    <r>
      <rPr>
        <b/>
        <sz val="11"/>
        <color theme="1"/>
        <rFont val="Calibri"/>
        <family val="2"/>
        <scheme val="minor"/>
      </rPr>
      <t>Match_type</t>
    </r>
    <r>
      <rPr>
        <sz val="11"/>
        <color theme="1"/>
        <rFont val="Calibri"/>
        <family val="2"/>
        <scheme val="minor"/>
      </rPr>
      <t> (optional) - defines the match type. It can be one of these values: 1, 0, -1. The match_type argument set to 0 returns only the exact match, while the other two types allow for approximate match.</t>
    </r>
  </si>
  <si>
    <t>Name</t>
  </si>
  <si>
    <t>Position</t>
  </si>
  <si>
    <t>Using INDEX and MATCH together</t>
  </si>
  <si>
    <t>TOTAL</t>
  </si>
  <si>
    <t>Using VLOOKUP</t>
  </si>
  <si>
    <t>2021 Revenue by Quarter (in  billions)</t>
  </si>
  <si>
    <t>The letter "V" stands for "vertical" and is used to differentiate VLOOKUP from the HLOOKUP function that looks up a value in a row rather than column (H stands for "horizontal").</t>
  </si>
  <si>
    <t>VLOOKUP syntax</t>
  </si>
  <si>
    <t>VLOOKUP(lookup_value, table_array, col_index_num, [range_lookup])</t>
  </si>
  <si>
    <t>Where:</t>
  </si>
  <si>
    <t>This can be a value (number, date or text), cell reference (reference to a cell containing a lookup value), or the value returned by some other function. Unlike numbers and cell references, text values should always be in enclosed in "double quotes".</t>
  </si>
  <si>
    <t>Col_index_num (required) - is the number of the column from which to return a value. The counting starts from the leftmost column in the table array, which is 1.</t>
  </si>
  <si>
    <r>
      <rPr>
        <b/>
        <sz val="11"/>
        <color theme="1"/>
        <rFont val="Calibri"/>
        <family val="2"/>
        <scheme val="minor"/>
      </rPr>
      <t xml:space="preserve">Lookup_value (required) </t>
    </r>
    <r>
      <rPr>
        <sz val="11"/>
        <color theme="1"/>
        <rFont val="Calibri"/>
        <family val="2"/>
        <scheme val="minor"/>
      </rPr>
      <t>- is the value to search for.</t>
    </r>
  </si>
  <si>
    <r>
      <rPr>
        <b/>
        <sz val="11"/>
        <color theme="1"/>
        <rFont val="Calibri"/>
        <family val="2"/>
        <scheme val="minor"/>
      </rPr>
      <t xml:space="preserve">Table_array (required) </t>
    </r>
    <r>
      <rPr>
        <sz val="11"/>
        <color theme="1"/>
        <rFont val="Calibri"/>
        <family val="2"/>
        <scheme val="minor"/>
      </rPr>
      <t>- is the range of cells where to search for the lookup value and from which to retrieve a match. The VLOOKUP function always searches in the first column of the table array, which may contain various text values, numbers, dates, and logical values.</t>
    </r>
  </si>
  <si>
    <r>
      <rPr>
        <b/>
        <sz val="11"/>
        <color theme="1"/>
        <rFont val="Calibri"/>
        <family val="2"/>
        <scheme val="minor"/>
      </rPr>
      <t>Range_lookup (optional)</t>
    </r>
    <r>
      <rPr>
        <sz val="11"/>
        <color theme="1"/>
        <rFont val="Calibri"/>
        <family val="2"/>
        <scheme val="minor"/>
      </rPr>
      <t xml:space="preserve"> - determines whether to search for approximate or exact match:</t>
    </r>
  </si>
  <si>
    <r>
      <rPr>
        <b/>
        <sz val="11"/>
        <color theme="1"/>
        <rFont val="Calibri"/>
        <family val="2"/>
        <scheme val="minor"/>
      </rPr>
      <t>TRUE</t>
    </r>
    <r>
      <rPr>
        <sz val="11"/>
        <color theme="1"/>
        <rFont val="Calibri"/>
        <family val="2"/>
        <scheme val="minor"/>
      </rPr>
      <t xml:space="preserve"> or omitted (default) - approximate match. If an exact match is not found, the formula searches for the largest value that is smaller than the lookup value. Requires sorting the lookup column in ascending order.</t>
    </r>
  </si>
  <si>
    <r>
      <rPr>
        <b/>
        <sz val="11"/>
        <color theme="1"/>
        <rFont val="Calibri"/>
        <family val="2"/>
        <scheme val="minor"/>
      </rPr>
      <t>FALSE</t>
    </r>
    <r>
      <rPr>
        <sz val="11"/>
        <color theme="1"/>
        <rFont val="Calibri"/>
        <family val="2"/>
        <scheme val="minor"/>
      </rPr>
      <t xml:space="preserve"> - exact match. The formula searches for a value exactly equal to the lookup value. If an exact match is not found, a #N/A value is returned.</t>
    </r>
  </si>
  <si>
    <t>Rank</t>
  </si>
  <si>
    <t>Animal</t>
  </si>
  <si>
    <t>Speed (mph)</t>
  </si>
  <si>
    <t>Cheetah</t>
  </si>
  <si>
    <t>Antelope</t>
  </si>
  <si>
    <t>Lion</t>
  </si>
  <si>
    <t>Elk</t>
  </si>
  <si>
    <t>Coyote</t>
  </si>
  <si>
    <t>Gray fox</t>
  </si>
  <si>
    <t>Ostrich</t>
  </si>
  <si>
    <t>Greyhound</t>
  </si>
  <si>
    <t>Whippet</t>
  </si>
  <si>
    <t>Rabbit</t>
  </si>
  <si>
    <t>Speed</t>
  </si>
  <si>
    <t>HLOOKUP syntax</t>
  </si>
  <si>
    <t>HLOOKUP(lookup_value, table_array, row_index_num, [range_lookup])</t>
  </si>
  <si>
    <t>Range_lookup (optional) - a logical (Boolean) value that instructs HLOOKUP to search with exact or approximate match.</t>
  </si>
  <si>
    <r>
      <rPr>
        <b/>
        <sz val="11"/>
        <color theme="1"/>
        <rFont val="Calibri"/>
        <family val="2"/>
        <scheme val="minor"/>
      </rPr>
      <t>Lookup_value (required)</t>
    </r>
    <r>
      <rPr>
        <sz val="11"/>
        <color theme="1"/>
        <rFont val="Calibri"/>
        <family val="2"/>
        <scheme val="minor"/>
      </rPr>
      <t xml:space="preserve"> - the value to search for. It can be a cell reference, numeric value or text string.</t>
    </r>
  </si>
  <si>
    <r>
      <rPr>
        <b/>
        <sz val="11"/>
        <color theme="1"/>
        <rFont val="Calibri"/>
        <family val="2"/>
        <scheme val="minor"/>
      </rPr>
      <t>Table_array (required)</t>
    </r>
    <r>
      <rPr>
        <sz val="11"/>
        <color theme="1"/>
        <rFont val="Calibri"/>
        <family val="2"/>
        <scheme val="minor"/>
      </rPr>
      <t xml:space="preserve"> - two or more rows of data in which the lookup value is searched. It can be a regular range, named range or table. Lookup values should always be located in the first row of table_array.</t>
    </r>
  </si>
  <si>
    <r>
      <rPr>
        <b/>
        <sz val="11"/>
        <color theme="1"/>
        <rFont val="Calibri"/>
        <family val="2"/>
        <scheme val="minor"/>
      </rPr>
      <t xml:space="preserve">Row_index_num (required) </t>
    </r>
    <r>
      <rPr>
        <sz val="11"/>
        <color theme="1"/>
        <rFont val="Calibri"/>
        <family val="2"/>
        <scheme val="minor"/>
      </rPr>
      <t>- the row number in table_array from which the value should be returned. For example, to return the matching value from the 2nd row, set row_index_num to 2, and so on.</t>
    </r>
  </si>
  <si>
    <r>
      <rPr>
        <b/>
        <sz val="11"/>
        <color theme="1"/>
        <rFont val="Calibri"/>
        <family val="2"/>
        <scheme val="minor"/>
      </rPr>
      <t>If TRUE or omitted</t>
    </r>
    <r>
      <rPr>
        <sz val="11"/>
        <color theme="1"/>
        <rFont val="Calibri"/>
        <family val="2"/>
        <scheme val="minor"/>
      </rPr>
      <t>, an approximate match is returned. What it means is if an exact match is not found, your Hlookup formula will do a non-exact match and return the next largest value that is less than lookup_value.</t>
    </r>
  </si>
  <si>
    <r>
      <rPr>
        <b/>
        <sz val="11"/>
        <color theme="1"/>
        <rFont val="Calibri"/>
        <family val="2"/>
        <scheme val="minor"/>
      </rPr>
      <t>If FALSE</t>
    </r>
    <r>
      <rPr>
        <sz val="11"/>
        <color theme="1"/>
        <rFont val="Calibri"/>
        <family val="2"/>
        <scheme val="minor"/>
      </rPr>
      <t>, only an exact match is returned. If no value in a specified row matches the lookup value exactly, HLOOKUP throws the #N/A error.</t>
    </r>
  </si>
  <si>
    <t>Planet</t>
  </si>
  <si>
    <t>Earth</t>
  </si>
  <si>
    <t>Mars</t>
  </si>
  <si>
    <t>Mercury</t>
  </si>
  <si>
    <t>Venus</t>
  </si>
  <si>
    <t>Jupiter</t>
  </si>
  <si>
    <t>Saturn</t>
  </si>
  <si>
    <t>Uranus</t>
  </si>
  <si>
    <t>Neptune</t>
  </si>
  <si>
    <t>Diameter</t>
  </si>
  <si>
    <t>OFFSET Function</t>
  </si>
  <si>
    <t>Sum of Week 3</t>
  </si>
  <si>
    <t>Day/Week</t>
  </si>
  <si>
    <t>Week 5</t>
  </si>
  <si>
    <t>Monday</t>
  </si>
  <si>
    <t>Tuesday</t>
  </si>
  <si>
    <t>Wednesday</t>
  </si>
  <si>
    <t>Thursday</t>
  </si>
  <si>
    <t>Friday</t>
  </si>
  <si>
    <t>Earnings on Thursday</t>
  </si>
  <si>
    <t>Earning for Wed and Week 1</t>
  </si>
  <si>
    <r>
      <t>VLOOKUP searches for the value you specify and returns a matching value from another column. More technically, the </t>
    </r>
    <r>
      <rPr>
        <i/>
        <sz val="14"/>
        <color rgb="FF000000"/>
        <rFont val="Noto Sans"/>
        <family val="2"/>
      </rPr>
      <t>VLOOKUP</t>
    </r>
    <r>
      <rPr>
        <sz val="14"/>
        <color rgb="FF000000"/>
        <rFont val="Noto Sans"/>
        <family val="2"/>
      </rPr>
      <t> function looks up a value in the first column of a given range and returns a value in the same row from another column.</t>
    </r>
  </si>
  <si>
    <t>The Excel HLOOKUP function is designed for horizontal lookup. More specifically, it searches for a certain value in the first row of the table and returns another value in the same column from a row that you specify.</t>
  </si>
  <si>
    <t>Density</t>
  </si>
  <si>
    <t>Temperature</t>
  </si>
  <si>
    <t>Week1</t>
  </si>
  <si>
    <t>Week2</t>
  </si>
  <si>
    <t>Week3</t>
  </si>
  <si>
    <t>Week4</t>
  </si>
  <si>
    <t>Week5</t>
  </si>
  <si>
    <t>Use OFFSET function</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</si>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</sst>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 #,##0.00;[Red]&quot;₹&quot;\ \-#,##0.00"/>
    <numFmt numFmtId="165" formatCode="_ * #,##0.00_ ;_ * \-#,##0.00_ ;_ * &quot;-&quot;??_ ;_ @_ "/>
    <numFmt numFmtId="166" formatCode="_ [$₹-4009]\ * #,##0.00_ ;_ [$₹-4009]\ * \-#,##0.00_ ;_ [$₹-4009]\ * &quot;-&quot;??_ ;_ @_ "/>
    <numFmt numFmtId="167" formatCode="&quot;₹&quot;\ #,##0.00"/>
    <numFmt numFmtId="168" formatCode="_(* #,##0_);_(* \(#,##0\);_(* &quot;-&quot;??_);_(@_)"/>
  </numFmts>
  <fonts count="24" x14ac:knownFonts="1">
    <font>
      <sz val="11"/>
      <color theme="1"/>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
      <b/>
      <sz val="11"/>
      <name val="Arial Black"/>
      <family val="2"/>
    </font>
    <font>
      <sz val="11"/>
      <name val="Calibri"/>
      <family val="2"/>
      <scheme val="minor"/>
    </font>
    <font>
      <b/>
      <sz val="11"/>
      <name val="Calibri"/>
      <family val="2"/>
      <scheme val="minor"/>
    </font>
    <font>
      <sz val="8"/>
      <name val="Calibri"/>
      <family val="2"/>
      <scheme val="minor"/>
    </font>
    <font>
      <sz val="13.5"/>
      <color rgb="FF000000"/>
      <name val="Noto Sans"/>
      <family val="2"/>
    </font>
    <font>
      <sz val="10"/>
      <color rgb="FF454545"/>
      <name val="Arial Black"/>
      <family val="2"/>
    </font>
    <font>
      <sz val="11"/>
      <color theme="1"/>
      <name val="Calibri"/>
      <family val="2"/>
      <scheme val="minor"/>
    </font>
    <font>
      <sz val="14"/>
      <color rgb="FF000000"/>
      <name val="Noto Sans"/>
      <family val="2"/>
    </font>
    <font>
      <i/>
      <sz val="14"/>
      <color rgb="FF000000"/>
      <name val="Noto Sans"/>
      <family val="2"/>
    </font>
    <font>
      <sz val="16"/>
      <color theme="1"/>
      <name val="Calibri"/>
      <family val="2"/>
      <scheme val="minor"/>
    </font>
    <font>
      <sz val="13.5"/>
      <color rgb="FF000000"/>
      <name val="Noto Sans"/>
      <family val="2"/>
    </font>
    <font>
      <b/>
      <sz val="13.5"/>
      <color rgb="FF000000"/>
      <name val="Noto Sans"/>
      <family val="2"/>
    </font>
    <font>
      <b/>
      <sz val="10"/>
      <name val="Arial Black"/>
      <family val="2"/>
    </font>
    <font>
      <sz val="11"/>
      <color theme="1"/>
      <name val="Calibri"/>
      <family val="2"/>
    </font>
    <font>
      <b/>
      <sz val="11"/>
      <color theme="1"/>
      <name val="Calibri"/>
      <family val="2"/>
      <charset val="204"/>
      <scheme val="minor"/>
    </font>
    <font>
      <u/>
      <sz val="10"/>
      <color indexed="12"/>
      <name val="Arial"/>
      <family val="2"/>
    </font>
    <font>
      <u/>
      <sz val="11"/>
      <color theme="10"/>
      <name val="Calibri"/>
      <family val="2"/>
      <charset val="204"/>
      <scheme val="minor"/>
    </font>
    <font>
      <b/>
      <sz val="12"/>
      <color theme="0"/>
      <name val="Arial Narrow"/>
      <family val="2"/>
    </font>
    <font>
      <sz val="12"/>
      <color theme="1"/>
      <name val="Calibri"/>
      <family val="2"/>
      <scheme val="minor"/>
    </font>
    <font>
      <b/>
      <sz val="12"/>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2"/>
        <bgColor indexed="64"/>
      </patternFill>
    </fill>
    <fill>
      <patternFill patternType="solid">
        <fgColor theme="3" tint="-0.249977111117893"/>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17" fillId="0" borderId="0"/>
    <xf numFmtId="0" fontId="10" fillId="0" borderId="0"/>
    <xf numFmtId="0" fontId="19" fillId="0" borderId="0" applyNumberFormat="0" applyFill="0" applyBorder="0" applyAlignment="0" applyProtection="0">
      <alignment vertical="top"/>
      <protection locked="0"/>
    </xf>
    <xf numFmtId="0" fontId="20" fillId="0" borderId="0" applyNumberFormat="0" applyFill="0" applyBorder="0" applyAlignment="0" applyProtection="0"/>
    <xf numFmtId="165" fontId="10" fillId="0" borderId="0" applyFont="0" applyFill="0" applyBorder="0" applyAlignment="0" applyProtection="0"/>
  </cellStyleXfs>
  <cellXfs count="47">
    <xf numFmtId="0" fontId="0" fillId="0" borderId="0" xfId="0"/>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xf numFmtId="0" fontId="1" fillId="0" borderId="1" xfId="0" applyFont="1" applyBorder="1"/>
    <xf numFmtId="0" fontId="0" fillId="0" borderId="1" xfId="0" applyBorder="1" applyAlignment="1">
      <alignment horizontal="center" vertical="center"/>
    </xf>
    <xf numFmtId="0" fontId="1" fillId="0" borderId="1" xfId="0" applyFont="1" applyBorder="1" applyAlignment="1">
      <alignment horizontal="left" vertical="center"/>
    </xf>
    <xf numFmtId="0" fontId="1" fillId="0" borderId="1" xfId="0" applyFont="1" applyBorder="1" applyAlignment="1">
      <alignment horizontal="left"/>
    </xf>
    <xf numFmtId="0" fontId="0" fillId="0" borderId="1" xfId="0" applyBorder="1" applyAlignment="1">
      <alignment horizontal="left"/>
    </xf>
    <xf numFmtId="166" fontId="0" fillId="0" borderId="1" xfId="0" applyNumberFormat="1" applyBorder="1" applyAlignment="1">
      <alignment horizontal="center" vertical="center"/>
    </xf>
    <xf numFmtId="166" fontId="0" fillId="0" borderId="1" xfId="0" applyNumberFormat="1" applyBorder="1"/>
    <xf numFmtId="167" fontId="0" fillId="0" borderId="1" xfId="0" applyNumberFormat="1" applyBorder="1" applyAlignment="1">
      <alignment horizontal="center"/>
    </xf>
    <xf numFmtId="167" fontId="0" fillId="0" borderId="1" xfId="0" applyNumberFormat="1" applyBorder="1"/>
    <xf numFmtId="164" fontId="0" fillId="0" borderId="1" xfId="0" applyNumberFormat="1" applyBorder="1" applyAlignment="1">
      <alignment horizontal="center"/>
    </xf>
    <xf numFmtId="164" fontId="0" fillId="0" borderId="1" xfId="0" applyNumberFormat="1" applyBorder="1"/>
    <xf numFmtId="0" fontId="18" fillId="3" borderId="1" xfId="0" applyFont="1" applyFill="1" applyBorder="1" applyAlignment="1">
      <alignment horizontal="center"/>
    </xf>
    <xf numFmtId="0" fontId="0" fillId="0" borderId="0" xfId="0" applyAlignment="1">
      <alignment horizontal="left"/>
    </xf>
    <xf numFmtId="0" fontId="14" fillId="0" borderId="0" xfId="0" applyFont="1" applyAlignment="1">
      <alignment vertical="center" wrapText="1"/>
    </xf>
    <xf numFmtId="0" fontId="1" fillId="3" borderId="1" xfId="0" applyFont="1" applyFill="1" applyBorder="1" applyAlignment="1">
      <alignment horizontal="center"/>
    </xf>
    <xf numFmtId="3" fontId="0" fillId="0" borderId="1" xfId="0" applyNumberFormat="1" applyBorder="1" applyAlignment="1">
      <alignment horizontal="center"/>
    </xf>
    <xf numFmtId="0" fontId="18" fillId="4" borderId="1" xfId="0" applyFont="1" applyFill="1" applyBorder="1"/>
    <xf numFmtId="0" fontId="21" fillId="5" borderId="0" xfId="0" applyFont="1" applyFill="1" applyAlignment="1">
      <alignment vertical="center"/>
    </xf>
    <xf numFmtId="0" fontId="21" fillId="5" borderId="0" xfId="0" applyFont="1" applyFill="1"/>
    <xf numFmtId="0" fontId="22" fillId="0" borderId="0" xfId="0" applyFont="1"/>
    <xf numFmtId="168" fontId="23" fillId="0" borderId="0" xfId="5" applyNumberFormat="1" applyFont="1" applyAlignment="1">
      <alignment vertical="center"/>
    </xf>
    <xf numFmtId="168" fontId="22" fillId="0" borderId="0" xfId="5" applyNumberFormat="1" applyFont="1"/>
    <xf numFmtId="0" fontId="22" fillId="6" borderId="1" xfId="0" applyFont="1" applyFill="1" applyBorder="1"/>
    <xf numFmtId="168" fontId="22" fillId="0" borderId="1" xfId="5" applyNumberFormat="1" applyFont="1" applyBorder="1"/>
    <xf numFmtId="168" fontId="22" fillId="2" borderId="1" xfId="5" applyNumberFormat="1" applyFont="1" applyFill="1" applyBorder="1"/>
    <xf numFmtId="168" fontId="22" fillId="0" borderId="1" xfId="5" applyNumberFormat="1" applyFont="1" applyFill="1" applyBorder="1"/>
    <xf numFmtId="0" fontId="22" fillId="0" borderId="1" xfId="0" applyFont="1" applyBorder="1"/>
    <xf numFmtId="3" fontId="0" fillId="0" borderId="1" xfId="0" applyNumberFormat="1" applyBorder="1" applyAlignment="1">
      <alignment horizontal="left"/>
    </xf>
    <xf numFmtId="168" fontId="0" fillId="0" borderId="0" xfId="0" applyNumberFormat="1"/>
    <xf numFmtId="0" fontId="5" fillId="0" borderId="0" xfId="0" applyFont="1" applyAlignment="1">
      <alignment horizontal="left"/>
    </xf>
    <xf numFmtId="0" fontId="8" fillId="2" borderId="0" xfId="0" applyFont="1" applyFill="1" applyAlignment="1">
      <alignment horizontal="left" vertical="top" wrapText="1"/>
    </xf>
    <xf numFmtId="0" fontId="4" fillId="0" borderId="0" xfId="0" applyFont="1" applyAlignment="1">
      <alignment horizontal="left"/>
    </xf>
    <xf numFmtId="0" fontId="3" fillId="0" borderId="0" xfId="0" applyFont="1" applyAlignment="1">
      <alignment horizontal="left" vertical="center" wrapText="1"/>
    </xf>
    <xf numFmtId="0" fontId="3" fillId="0" borderId="0" xfId="0" applyFont="1" applyAlignment="1">
      <alignment horizontal="left"/>
    </xf>
    <xf numFmtId="0" fontId="9" fillId="0" borderId="0" xfId="0" applyFont="1" applyAlignment="1">
      <alignment horizontal="left"/>
    </xf>
    <xf numFmtId="0" fontId="2" fillId="0" borderId="0" xfId="0" applyFont="1" applyAlignment="1">
      <alignment horizontal="left"/>
    </xf>
    <xf numFmtId="0" fontId="1" fillId="0" borderId="0" xfId="0" applyFont="1" applyAlignment="1">
      <alignment horizontal="center"/>
    </xf>
    <xf numFmtId="0" fontId="11" fillId="0" borderId="0" xfId="0" applyFont="1" applyAlignment="1">
      <alignment horizontal="left" vertical="top" wrapText="1"/>
    </xf>
    <xf numFmtId="0" fontId="13" fillId="0" borderId="0" xfId="0" applyFont="1" applyAlignment="1">
      <alignment horizontal="left" vertical="top" wrapText="1"/>
    </xf>
    <xf numFmtId="0" fontId="15" fillId="0" borderId="0" xfId="0" applyFont="1" applyAlignment="1">
      <alignment horizontal="left" vertical="top" wrapText="1"/>
    </xf>
    <xf numFmtId="0" fontId="16" fillId="2" borderId="0" xfId="0" applyFont="1" applyFill="1" applyAlignment="1">
      <alignment horizontal="left" vertical="center"/>
    </xf>
    <xf numFmtId="0" fontId="22" fillId="0" borderId="0" xfId="0" applyFont="1" applyAlignment="1">
      <alignment horizontal="center" wrapText="1"/>
    </xf>
    <xf numFmtId="0" fontId="1" fillId="0" borderId="0" xfId="0" applyFont="1"/>
  </cellXfs>
  <cellStyles count="6">
    <cellStyle name="Comma" xfId="5" builtinId="3"/>
    <cellStyle name="Hyperlink 2" xfId="3" xr:uid="{A47A190C-B72F-4E14-B498-FB70759D8497}"/>
    <cellStyle name="Hyperlink 3" xfId="4" xr:uid="{30090B44-AB2F-42D6-B9F4-6B5A587BB757}"/>
    <cellStyle name="Normal" xfId="0" builtinId="0"/>
    <cellStyle name="Normal 2" xfId="2" xr:uid="{C963F4CD-FC58-4734-8B2F-EC76ED4AF366}"/>
    <cellStyle name="Normal 3" xfId="1" xr:uid="{469AF2D3-4124-4ABB-806C-AE72A35BB1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9</xdr:col>
      <xdr:colOff>104914</xdr:colOff>
      <xdr:row>24</xdr:row>
      <xdr:rowOff>33130</xdr:rowOff>
    </xdr:from>
    <xdr:to>
      <xdr:col>12</xdr:col>
      <xdr:colOff>435113</xdr:colOff>
      <xdr:row>29</xdr:row>
      <xdr:rowOff>39480</xdr:rowOff>
    </xdr:to>
    <xdr:pic>
      <xdr:nvPicPr>
        <xdr:cNvPr id="4" name="Picture 3">
          <a:extLst>
            <a:ext uri="{FF2B5EF4-FFF2-40B4-BE49-F238E27FC236}">
              <a16:creationId xmlns:a16="http://schemas.microsoft.com/office/drawing/2014/main" id="{B048E190-0FD5-D697-823D-A1DAF137FF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95392" y="4478130"/>
          <a:ext cx="2152373" cy="9174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90927</xdr:colOff>
      <xdr:row>23</xdr:row>
      <xdr:rowOff>5311</xdr:rowOff>
    </xdr:from>
    <xdr:to>
      <xdr:col>14</xdr:col>
      <xdr:colOff>23286</xdr:colOff>
      <xdr:row>27</xdr:row>
      <xdr:rowOff>11661</xdr:rowOff>
    </xdr:to>
    <xdr:pic>
      <xdr:nvPicPr>
        <xdr:cNvPr id="3" name="Picture 2">
          <a:extLst>
            <a:ext uri="{FF2B5EF4-FFF2-40B4-BE49-F238E27FC236}">
              <a16:creationId xmlns:a16="http://schemas.microsoft.com/office/drawing/2014/main" id="{7D53446F-B05C-C8B8-5FC7-3E2E32129B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57734" y="4435010"/>
          <a:ext cx="6664889" cy="7714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5</xdr:row>
      <xdr:rowOff>5803</xdr:rowOff>
    </xdr:from>
    <xdr:to>
      <xdr:col>9</xdr:col>
      <xdr:colOff>9769</xdr:colOff>
      <xdr:row>8</xdr:row>
      <xdr:rowOff>12152</xdr:rowOff>
    </xdr:to>
    <xdr:pic>
      <xdr:nvPicPr>
        <xdr:cNvPr id="3" name="Picture 2">
          <a:extLst>
            <a:ext uri="{FF2B5EF4-FFF2-40B4-BE49-F238E27FC236}">
              <a16:creationId xmlns:a16="http://schemas.microsoft.com/office/drawing/2014/main" id="{E90E2546-5DEB-DAE6-3831-EA9E06D789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82726"/>
          <a:ext cx="6604000" cy="5925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457200</xdr:colOff>
      <xdr:row>6</xdr:row>
      <xdr:rowOff>69850</xdr:rowOff>
    </xdr:from>
    <xdr:to>
      <xdr:col>16</xdr:col>
      <xdr:colOff>44450</xdr:colOff>
      <xdr:row>8</xdr:row>
      <xdr:rowOff>76200</xdr:rowOff>
    </xdr:to>
    <xdr:pic>
      <xdr:nvPicPr>
        <xdr:cNvPr id="3" name="Picture 2">
          <a:extLst>
            <a:ext uri="{FF2B5EF4-FFF2-40B4-BE49-F238E27FC236}">
              <a16:creationId xmlns:a16="http://schemas.microsoft.com/office/drawing/2014/main" id="{FC1690CC-E1E3-D9DE-1E6B-F7077A886B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34100" y="1238250"/>
          <a:ext cx="4464050"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9665BD0-D720-EF4E-BACF-6CF0FBBC7132}">
  <we:reference id="wa200010215" version="2.0.0.0" store="en-GB" storeType="OMEX"/>
  <we:alternateReferences>
    <we:reference id="WA200010215" version="2.0.0.0" store=""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B6956-344E-4245-A93A-4F6D104B46EA}">
  <dimension ref="A1:P30"/>
  <sheetViews>
    <sheetView topLeftCell="K2" zoomScale="111" zoomScaleNormal="130" workbookViewId="0">
      <selection activeCell="H26" sqref="H26"/>
    </sheetView>
  </sheetViews>
  <sheetFormatPr baseColWidth="10" defaultColWidth="8.83203125" defaultRowHeight="15" x14ac:dyDescent="0.2"/>
  <sheetData>
    <row r="1" spans="1:16" ht="21" customHeight="1" x14ac:dyDescent="0.2">
      <c r="A1" s="36" t="s">
        <v>12</v>
      </c>
      <c r="B1" s="36"/>
      <c r="C1" s="36"/>
      <c r="D1" s="36"/>
      <c r="E1" s="36"/>
      <c r="F1" s="36"/>
      <c r="G1" s="36"/>
      <c r="H1" s="36"/>
      <c r="I1" s="36"/>
      <c r="J1" s="36"/>
      <c r="K1" s="36"/>
      <c r="L1" s="36"/>
      <c r="M1" s="36"/>
      <c r="N1" s="36"/>
      <c r="O1" s="36"/>
      <c r="P1" s="36"/>
    </row>
    <row r="2" spans="1:16" x14ac:dyDescent="0.2">
      <c r="A2" s="36"/>
      <c r="B2" s="36"/>
      <c r="C2" s="36"/>
      <c r="D2" s="36"/>
      <c r="E2" s="36"/>
      <c r="F2" s="36"/>
      <c r="G2" s="36"/>
      <c r="H2" s="36"/>
      <c r="I2" s="36"/>
      <c r="J2" s="36"/>
      <c r="K2" s="36"/>
      <c r="L2" s="36"/>
      <c r="M2" s="36"/>
      <c r="N2" s="36"/>
      <c r="O2" s="36"/>
      <c r="P2" s="36"/>
    </row>
    <row r="3" spans="1:16" ht="16" x14ac:dyDescent="0.2">
      <c r="A3" s="34" t="s">
        <v>30</v>
      </c>
      <c r="B3" s="34"/>
      <c r="C3" s="34"/>
    </row>
    <row r="4" spans="1:16" ht="17" x14ac:dyDescent="0.25">
      <c r="A4" s="35" t="s">
        <v>13</v>
      </c>
      <c r="B4" s="35"/>
      <c r="C4" s="35"/>
      <c r="D4" s="35"/>
      <c r="E4" s="35"/>
    </row>
    <row r="6" spans="1:16" x14ac:dyDescent="0.2">
      <c r="A6" s="33" t="s">
        <v>14</v>
      </c>
      <c r="B6" s="33"/>
      <c r="C6" s="33"/>
      <c r="D6" s="33"/>
      <c r="E6" s="33"/>
      <c r="F6" s="33"/>
      <c r="G6" s="33"/>
      <c r="H6" s="33"/>
      <c r="I6" s="33"/>
      <c r="J6" s="33"/>
      <c r="K6" s="33"/>
      <c r="L6" s="33"/>
    </row>
    <row r="7" spans="1:16" x14ac:dyDescent="0.2">
      <c r="A7" s="33" t="s">
        <v>15</v>
      </c>
      <c r="B7" s="33"/>
      <c r="C7" s="33"/>
      <c r="D7" s="33"/>
      <c r="E7" s="33"/>
      <c r="F7" s="33"/>
      <c r="G7" s="33"/>
      <c r="H7" s="33"/>
      <c r="I7" s="33"/>
      <c r="J7" s="33"/>
      <c r="K7" s="33"/>
      <c r="L7" s="33"/>
    </row>
    <row r="8" spans="1:16" x14ac:dyDescent="0.2">
      <c r="A8" s="33" t="s">
        <v>16</v>
      </c>
      <c r="B8" s="33"/>
      <c r="C8" s="33"/>
      <c r="D8" s="33"/>
      <c r="E8" s="33"/>
      <c r="F8" s="33"/>
      <c r="G8" s="33"/>
      <c r="H8" s="33"/>
      <c r="I8" s="33"/>
      <c r="J8" s="33"/>
      <c r="K8" s="33"/>
      <c r="L8" s="33"/>
    </row>
    <row r="10" spans="1:16" ht="16" x14ac:dyDescent="0.2">
      <c r="A10" s="34" t="s">
        <v>31</v>
      </c>
      <c r="B10" s="34"/>
      <c r="C10" s="34"/>
    </row>
    <row r="11" spans="1:16" ht="17" x14ac:dyDescent="0.25">
      <c r="A11" s="35" t="s">
        <v>32</v>
      </c>
      <c r="B11" s="35"/>
      <c r="C11" s="35"/>
      <c r="D11" s="35"/>
      <c r="E11" s="35"/>
      <c r="F11" s="35"/>
      <c r="G11" s="35"/>
      <c r="H11" s="35"/>
      <c r="I11" s="35"/>
    </row>
    <row r="13" spans="1:16" x14ac:dyDescent="0.2">
      <c r="A13" t="s">
        <v>35</v>
      </c>
    </row>
    <row r="15" spans="1:16" x14ac:dyDescent="0.2">
      <c r="A15" t="s">
        <v>33</v>
      </c>
    </row>
    <row r="17" spans="1:8" x14ac:dyDescent="0.2">
      <c r="A17" t="s">
        <v>34</v>
      </c>
    </row>
    <row r="19" spans="1:8" x14ac:dyDescent="0.2">
      <c r="A19" t="s">
        <v>36</v>
      </c>
    </row>
    <row r="20" spans="1:8" x14ac:dyDescent="0.2">
      <c r="A20" t="s">
        <v>37</v>
      </c>
    </row>
    <row r="21" spans="1:8" x14ac:dyDescent="0.2">
      <c r="A21" t="s">
        <v>38</v>
      </c>
    </row>
    <row r="24" spans="1:8" x14ac:dyDescent="0.2">
      <c r="A24" s="1" t="s">
        <v>17</v>
      </c>
      <c r="B24" s="1" t="s">
        <v>18</v>
      </c>
      <c r="C24" s="1" t="s">
        <v>19</v>
      </c>
      <c r="D24" s="1" t="s">
        <v>20</v>
      </c>
      <c r="E24" s="1" t="s">
        <v>21</v>
      </c>
      <c r="G24" s="6" t="s">
        <v>17</v>
      </c>
      <c r="H24" s="3">
        <v>2</v>
      </c>
    </row>
    <row r="25" spans="1:8" x14ac:dyDescent="0.2">
      <c r="A25" s="5" t="s">
        <v>22</v>
      </c>
      <c r="B25" s="5">
        <v>45</v>
      </c>
      <c r="C25" s="5">
        <v>34</v>
      </c>
      <c r="D25" s="5">
        <v>38</v>
      </c>
      <c r="E25" s="5">
        <v>43</v>
      </c>
      <c r="G25" s="7" t="s">
        <v>26</v>
      </c>
      <c r="H25" s="3">
        <v>1</v>
      </c>
    </row>
    <row r="26" spans="1:8" x14ac:dyDescent="0.2">
      <c r="A26" s="5" t="s">
        <v>23</v>
      </c>
      <c r="B26" s="5">
        <v>23</v>
      </c>
      <c r="C26" s="5">
        <v>45</v>
      </c>
      <c r="D26" s="5">
        <v>39</v>
      </c>
      <c r="E26" s="5">
        <v>32</v>
      </c>
      <c r="G26" s="4" t="s">
        <v>27</v>
      </c>
      <c r="H26" s="3" t="str" cm="1">
        <f t="array" ref="H26">INDEX(A24:E30,H24,H25)</f>
        <v>Paint</v>
      </c>
    </row>
    <row r="27" spans="1:8" x14ac:dyDescent="0.2">
      <c r="A27" s="5" t="s">
        <v>24</v>
      </c>
      <c r="B27" s="5">
        <v>43</v>
      </c>
      <c r="C27" s="5">
        <v>46</v>
      </c>
      <c r="D27" s="5">
        <v>50</v>
      </c>
      <c r="E27" s="5">
        <v>54</v>
      </c>
    </row>
    <row r="28" spans="1:8" x14ac:dyDescent="0.2">
      <c r="A28" s="5" t="s">
        <v>25</v>
      </c>
      <c r="B28" s="5">
        <v>55</v>
      </c>
      <c r="C28" s="5">
        <v>44</v>
      </c>
      <c r="D28" s="5">
        <v>55</v>
      </c>
      <c r="E28" s="5">
        <v>37</v>
      </c>
    </row>
    <row r="29" spans="1:8" x14ac:dyDescent="0.2">
      <c r="A29" s="5" t="s">
        <v>28</v>
      </c>
      <c r="B29" s="5">
        <v>44</v>
      </c>
      <c r="C29" s="5">
        <v>43</v>
      </c>
      <c r="D29" s="5">
        <v>24</v>
      </c>
      <c r="E29" s="5">
        <v>64</v>
      </c>
    </row>
    <row r="30" spans="1:8" x14ac:dyDescent="0.2">
      <c r="A30" s="5" t="s">
        <v>29</v>
      </c>
      <c r="B30" s="5">
        <v>67</v>
      </c>
      <c r="C30" s="5">
        <v>34</v>
      </c>
      <c r="D30" s="5">
        <v>25</v>
      </c>
      <c r="E30" s="5">
        <v>45</v>
      </c>
    </row>
  </sheetData>
  <mergeCells count="8">
    <mergeCell ref="A8:L8"/>
    <mergeCell ref="A3:C3"/>
    <mergeCell ref="A10:C10"/>
    <mergeCell ref="A11:I11"/>
    <mergeCell ref="A1:P2"/>
    <mergeCell ref="A4:E4"/>
    <mergeCell ref="A6:L6"/>
    <mergeCell ref="A7:L7"/>
  </mergeCells>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CE7C7-9DAD-449D-9E97-50573B03ED0C}">
  <dimension ref="A1:R35"/>
  <sheetViews>
    <sheetView zoomScale="130" zoomScaleNormal="130" workbookViewId="0">
      <selection activeCell="I17" sqref="I17"/>
    </sheetView>
  </sheetViews>
  <sheetFormatPr baseColWidth="10" defaultColWidth="8.83203125" defaultRowHeight="15" x14ac:dyDescent="0.2"/>
  <cols>
    <col min="6" max="6" width="14.33203125" customWidth="1"/>
  </cols>
  <sheetData>
    <row r="1" spans="1:18" ht="21" x14ac:dyDescent="0.25">
      <c r="A1" s="37" t="s">
        <v>39</v>
      </c>
      <c r="B1" s="37"/>
      <c r="C1" s="37"/>
      <c r="D1" s="37"/>
      <c r="E1" s="37"/>
      <c r="F1" s="37"/>
      <c r="G1" s="37"/>
      <c r="H1" s="37"/>
      <c r="I1" s="37"/>
      <c r="J1" s="37"/>
      <c r="K1" s="37"/>
      <c r="L1" s="37"/>
      <c r="M1" s="37"/>
      <c r="N1" s="37"/>
      <c r="O1" s="37"/>
      <c r="P1" s="37"/>
      <c r="Q1" s="37"/>
      <c r="R1" s="37"/>
    </row>
    <row r="3" spans="1:18" ht="16" x14ac:dyDescent="0.25">
      <c r="A3" s="38" t="s">
        <v>40</v>
      </c>
      <c r="B3" s="38"/>
      <c r="C3" s="38"/>
      <c r="D3" s="38"/>
      <c r="E3" s="38"/>
      <c r="F3" s="38"/>
    </row>
    <row r="5" spans="1:18" x14ac:dyDescent="0.2">
      <c r="A5" t="s">
        <v>44</v>
      </c>
    </row>
    <row r="7" spans="1:18" x14ac:dyDescent="0.2">
      <c r="A7" t="s">
        <v>45</v>
      </c>
    </row>
    <row r="9" spans="1:18" x14ac:dyDescent="0.2">
      <c r="A9" t="s">
        <v>46</v>
      </c>
    </row>
    <row r="11" spans="1:18" x14ac:dyDescent="0.2">
      <c r="A11" t="s">
        <v>41</v>
      </c>
    </row>
    <row r="12" spans="1:18" x14ac:dyDescent="0.2">
      <c r="A12" t="s">
        <v>42</v>
      </c>
    </row>
    <row r="13" spans="1:18" x14ac:dyDescent="0.2">
      <c r="A13" t="s">
        <v>43</v>
      </c>
    </row>
    <row r="16" spans="1:18" x14ac:dyDescent="0.2">
      <c r="A16" s="1" t="s">
        <v>17</v>
      </c>
      <c r="B16" s="1" t="s">
        <v>18</v>
      </c>
      <c r="C16" s="1" t="s">
        <v>19</v>
      </c>
      <c r="D16" s="1" t="s">
        <v>20</v>
      </c>
      <c r="E16" s="1" t="s">
        <v>21</v>
      </c>
      <c r="F16" s="1" t="s">
        <v>50</v>
      </c>
      <c r="H16" s="6" t="s">
        <v>47</v>
      </c>
      <c r="I16" s="3" t="s">
        <v>25</v>
      </c>
    </row>
    <row r="17" spans="1:9" x14ac:dyDescent="0.2">
      <c r="A17" s="5" t="s">
        <v>22</v>
      </c>
      <c r="B17" s="9">
        <v>45</v>
      </c>
      <c r="C17" s="9">
        <v>34</v>
      </c>
      <c r="D17" s="9">
        <v>38</v>
      </c>
      <c r="E17" s="9">
        <v>43</v>
      </c>
      <c r="F17" s="10">
        <f>SUM(B17:E17)</f>
        <v>160</v>
      </c>
      <c r="H17" s="7" t="s">
        <v>48</v>
      </c>
      <c r="I17" s="8">
        <f>MATCH(I16,A17:A22,0)</f>
        <v>4</v>
      </c>
    </row>
    <row r="18" spans="1:9" x14ac:dyDescent="0.2">
      <c r="A18" s="5" t="s">
        <v>23</v>
      </c>
      <c r="B18" s="9">
        <v>23</v>
      </c>
      <c r="C18" s="9">
        <v>45</v>
      </c>
      <c r="D18" s="9">
        <v>39</v>
      </c>
      <c r="E18" s="9">
        <v>32</v>
      </c>
      <c r="F18" s="10">
        <f t="shared" ref="F18:F22" si="0">SUM(B18:E18)</f>
        <v>139</v>
      </c>
    </row>
    <row r="19" spans="1:9" x14ac:dyDescent="0.2">
      <c r="A19" s="5" t="s">
        <v>24</v>
      </c>
      <c r="B19" s="9">
        <v>43</v>
      </c>
      <c r="C19" s="9">
        <v>46</v>
      </c>
      <c r="D19" s="9">
        <v>50</v>
      </c>
      <c r="E19" s="9">
        <v>54</v>
      </c>
      <c r="F19" s="10">
        <f t="shared" si="0"/>
        <v>193</v>
      </c>
    </row>
    <row r="20" spans="1:9" x14ac:dyDescent="0.2">
      <c r="A20" s="5" t="s">
        <v>25</v>
      </c>
      <c r="B20" s="9">
        <v>55</v>
      </c>
      <c r="C20" s="9">
        <v>44</v>
      </c>
      <c r="D20" s="9">
        <v>55</v>
      </c>
      <c r="E20" s="9">
        <v>37</v>
      </c>
      <c r="F20" s="10">
        <f t="shared" si="0"/>
        <v>191</v>
      </c>
    </row>
    <row r="21" spans="1:9" x14ac:dyDescent="0.2">
      <c r="A21" s="5" t="s">
        <v>28</v>
      </c>
      <c r="B21" s="9">
        <v>44</v>
      </c>
      <c r="C21" s="9">
        <v>43</v>
      </c>
      <c r="D21" s="9">
        <v>24</v>
      </c>
      <c r="E21" s="9">
        <v>64</v>
      </c>
      <c r="F21" s="10">
        <f t="shared" si="0"/>
        <v>175</v>
      </c>
    </row>
    <row r="22" spans="1:9" x14ac:dyDescent="0.2">
      <c r="A22" s="5" t="s">
        <v>29</v>
      </c>
      <c r="B22" s="9">
        <v>67</v>
      </c>
      <c r="C22" s="9">
        <v>34</v>
      </c>
      <c r="D22" s="9">
        <v>25</v>
      </c>
      <c r="E22" s="9">
        <v>45</v>
      </c>
      <c r="F22" s="10">
        <f t="shared" si="0"/>
        <v>171</v>
      </c>
    </row>
    <row r="25" spans="1:9" ht="19" x14ac:dyDescent="0.25">
      <c r="A25" s="39" t="s">
        <v>49</v>
      </c>
      <c r="B25" s="39"/>
      <c r="C25" s="39"/>
      <c r="D25" s="39"/>
      <c r="E25" s="39"/>
    </row>
    <row r="27" spans="1:9" x14ac:dyDescent="0.2">
      <c r="B27" s="7" t="s">
        <v>17</v>
      </c>
      <c r="C27" s="2" t="s">
        <v>24</v>
      </c>
    </row>
    <row r="28" spans="1:9" x14ac:dyDescent="0.2">
      <c r="B28" s="7" t="s">
        <v>26</v>
      </c>
      <c r="C28" s="2" t="s">
        <v>21</v>
      </c>
    </row>
    <row r="29" spans="1:9" x14ac:dyDescent="0.2">
      <c r="B29" s="7" t="s">
        <v>11</v>
      </c>
      <c r="C29" s="8"/>
    </row>
    <row r="31" spans="1:9" ht="19" x14ac:dyDescent="0.25">
      <c r="A31" s="39" t="s">
        <v>51</v>
      </c>
      <c r="B31" s="39"/>
      <c r="C31" s="39"/>
      <c r="D31" s="39"/>
      <c r="E31" s="39"/>
    </row>
    <row r="33" spans="2:3" x14ac:dyDescent="0.2">
      <c r="B33" s="7" t="s">
        <v>17</v>
      </c>
      <c r="C33" s="2" t="s">
        <v>29</v>
      </c>
    </row>
    <row r="34" spans="2:3" x14ac:dyDescent="0.2">
      <c r="B34" s="7" t="s">
        <v>26</v>
      </c>
      <c r="C34" s="2"/>
    </row>
    <row r="35" spans="2:3" x14ac:dyDescent="0.2">
      <c r="B35" s="7" t="s">
        <v>11</v>
      </c>
      <c r="C35" s="2"/>
    </row>
  </sheetData>
  <mergeCells count="4">
    <mergeCell ref="A1:R1"/>
    <mergeCell ref="A3:F3"/>
    <mergeCell ref="A25:E25"/>
    <mergeCell ref="A31:E31"/>
  </mergeCells>
  <dataValidations count="2">
    <dataValidation type="list" allowBlank="1" showInputMessage="1" showErrorMessage="1" sqref="C27" xr:uid="{36EA4564-9922-4469-A32E-8BF2A1F41368}">
      <formula1>$A$17:$A$22</formula1>
    </dataValidation>
    <dataValidation type="list" allowBlank="1" showInputMessage="1" showErrorMessage="1" sqref="C28" xr:uid="{896C9785-9540-42C0-A5E5-7EBFB222FD55}">
      <formula1>$B$16:$F$16</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12"/>
  <sheetViews>
    <sheetView zoomScale="135" workbookViewId="0">
      <selection activeCell="E15" sqref="E15"/>
    </sheetView>
  </sheetViews>
  <sheetFormatPr baseColWidth="10" defaultColWidth="8.83203125" defaultRowHeight="15" x14ac:dyDescent="0.2"/>
  <cols>
    <col min="2" max="2" width="15.5" bestFit="1" customWidth="1"/>
    <col min="4" max="4" width="10.1640625" bestFit="1" customWidth="1"/>
    <col min="5" max="5" width="8.33203125" bestFit="1" customWidth="1"/>
  </cols>
  <sheetData>
    <row r="2" spans="2:7" x14ac:dyDescent="0.2">
      <c r="B2" s="40" t="s">
        <v>52</v>
      </c>
      <c r="C2" s="40"/>
      <c r="D2" s="40"/>
      <c r="E2" s="40"/>
      <c r="F2" s="40"/>
    </row>
    <row r="4" spans="2:7" x14ac:dyDescent="0.2">
      <c r="B4" s="1" t="s">
        <v>0</v>
      </c>
      <c r="C4" s="1" t="s">
        <v>1</v>
      </c>
      <c r="D4" s="1" t="s">
        <v>2</v>
      </c>
      <c r="E4" s="1" t="s">
        <v>3</v>
      </c>
      <c r="F4" s="1" t="s">
        <v>4</v>
      </c>
      <c r="G4" s="1" t="s">
        <v>50</v>
      </c>
    </row>
    <row r="5" spans="2:7" x14ac:dyDescent="0.2">
      <c r="B5" s="2" t="s">
        <v>5</v>
      </c>
      <c r="C5" s="11">
        <v>1</v>
      </c>
      <c r="D5" s="11">
        <v>1.1100000000000001</v>
      </c>
      <c r="E5" s="11">
        <v>1.24</v>
      </c>
      <c r="F5" s="11">
        <v>1.44</v>
      </c>
      <c r="G5" s="12">
        <f>SUM(C5:F5)</f>
        <v>4.7900000000000009</v>
      </c>
    </row>
    <row r="6" spans="2:7" x14ac:dyDescent="0.2">
      <c r="B6" s="2" t="s">
        <v>6</v>
      </c>
      <c r="C6" s="13">
        <v>7.16</v>
      </c>
      <c r="D6" s="13">
        <v>7.34</v>
      </c>
      <c r="E6" s="13">
        <v>7.43</v>
      </c>
      <c r="F6" s="13">
        <v>7.71</v>
      </c>
      <c r="G6" s="14">
        <f>SUM(C6:F6)</f>
        <v>29.64</v>
      </c>
    </row>
    <row r="7" spans="2:7" x14ac:dyDescent="0.2">
      <c r="B7" s="2" t="s">
        <v>7</v>
      </c>
      <c r="C7" s="13">
        <v>0.81</v>
      </c>
      <c r="D7" s="13">
        <v>1.1000000000000001</v>
      </c>
      <c r="E7" s="13">
        <v>1.21</v>
      </c>
      <c r="F7" s="13">
        <v>1.58</v>
      </c>
      <c r="G7" s="14">
        <f>SUM(C7:F7)</f>
        <v>4.7</v>
      </c>
    </row>
    <row r="8" spans="2:7" x14ac:dyDescent="0.2">
      <c r="B8" s="2" t="s">
        <v>8</v>
      </c>
      <c r="C8" s="13">
        <v>6</v>
      </c>
      <c r="D8" s="13">
        <v>7</v>
      </c>
      <c r="E8" s="13">
        <v>7.2</v>
      </c>
      <c r="F8" s="13">
        <v>8.6300000000000008</v>
      </c>
      <c r="G8" s="14">
        <f>SUM(G5:G7)</f>
        <v>39.130000000000003</v>
      </c>
    </row>
    <row r="10" spans="2:7" x14ac:dyDescent="0.2">
      <c r="C10" s="3" t="s">
        <v>9</v>
      </c>
      <c r="D10" s="3" t="s">
        <v>7</v>
      </c>
    </row>
    <row r="11" spans="2:7" x14ac:dyDescent="0.2">
      <c r="C11" s="3" t="s">
        <v>10</v>
      </c>
      <c r="D11" s="3" t="s">
        <v>2</v>
      </c>
    </row>
    <row r="12" spans="2:7" x14ac:dyDescent="0.2">
      <c r="C12" s="3" t="s">
        <v>11</v>
      </c>
      <c r="D12" s="3"/>
    </row>
  </sheetData>
  <mergeCells count="1">
    <mergeCell ref="B2:F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2B175-A37F-4265-9C45-B198556BE1F7}">
  <dimension ref="B2:Q35"/>
  <sheetViews>
    <sheetView topLeftCell="A9" zoomScale="115" zoomScaleNormal="115" workbookViewId="0">
      <selection activeCell="G30" sqref="G30"/>
    </sheetView>
  </sheetViews>
  <sheetFormatPr baseColWidth="10" defaultColWidth="8.83203125" defaultRowHeight="15" x14ac:dyDescent="0.2"/>
  <cols>
    <col min="3" max="3" width="10.1640625" bestFit="1" customWidth="1"/>
    <col min="4" max="4" width="11.5" bestFit="1" customWidth="1"/>
    <col min="7" max="7" width="10.83203125" customWidth="1"/>
    <col min="8" max="8" width="11.1640625" customWidth="1"/>
  </cols>
  <sheetData>
    <row r="2" spans="2:17" x14ac:dyDescent="0.2">
      <c r="B2" s="41" t="s">
        <v>107</v>
      </c>
      <c r="C2" s="41"/>
      <c r="D2" s="41"/>
      <c r="E2" s="41"/>
      <c r="F2" s="41"/>
      <c r="G2" s="41"/>
      <c r="H2" s="41"/>
      <c r="I2" s="41"/>
      <c r="J2" s="41"/>
      <c r="K2" s="41"/>
      <c r="L2" s="41"/>
      <c r="M2" s="41"/>
      <c r="N2" s="41"/>
      <c r="O2" s="41"/>
      <c r="P2" s="41"/>
      <c r="Q2" s="41"/>
    </row>
    <row r="3" spans="2:17" x14ac:dyDescent="0.2">
      <c r="B3" s="41"/>
      <c r="C3" s="41"/>
      <c r="D3" s="41"/>
      <c r="E3" s="41"/>
      <c r="F3" s="41"/>
      <c r="G3" s="41"/>
      <c r="H3" s="41"/>
      <c r="I3" s="41"/>
      <c r="J3" s="41"/>
      <c r="K3" s="41"/>
      <c r="L3" s="41"/>
      <c r="M3" s="41"/>
      <c r="N3" s="41"/>
      <c r="O3" s="41"/>
      <c r="P3" s="41"/>
      <c r="Q3" s="41"/>
    </row>
    <row r="4" spans="2:17" x14ac:dyDescent="0.2">
      <c r="B4" s="41"/>
      <c r="C4" s="41"/>
      <c r="D4" s="41"/>
      <c r="E4" s="41"/>
      <c r="F4" s="41"/>
      <c r="G4" s="41"/>
      <c r="H4" s="41"/>
      <c r="I4" s="41"/>
      <c r="J4" s="41"/>
      <c r="K4" s="41"/>
      <c r="L4" s="41"/>
      <c r="M4" s="41"/>
      <c r="N4" s="41"/>
      <c r="O4" s="41"/>
      <c r="P4" s="41"/>
      <c r="Q4" s="41"/>
    </row>
    <row r="5" spans="2:17" x14ac:dyDescent="0.2">
      <c r="B5" s="41"/>
      <c r="C5" s="41"/>
      <c r="D5" s="41"/>
      <c r="E5" s="41"/>
      <c r="F5" s="41"/>
      <c r="G5" s="41"/>
      <c r="H5" s="41"/>
      <c r="I5" s="41"/>
      <c r="J5" s="41"/>
      <c r="K5" s="41"/>
      <c r="L5" s="41"/>
      <c r="M5" s="41"/>
      <c r="N5" s="41"/>
      <c r="O5" s="41"/>
      <c r="P5" s="41"/>
      <c r="Q5" s="41"/>
    </row>
    <row r="7" spans="2:17" x14ac:dyDescent="0.2">
      <c r="B7" s="42" t="s">
        <v>53</v>
      </c>
      <c r="C7" s="42"/>
      <c r="D7" s="42"/>
      <c r="E7" s="42"/>
      <c r="F7" s="42"/>
      <c r="G7" s="42"/>
      <c r="H7" s="42"/>
      <c r="I7" s="42"/>
      <c r="J7" s="42"/>
      <c r="K7" s="42"/>
      <c r="L7" s="42"/>
      <c r="M7" s="42"/>
      <c r="N7" s="42"/>
      <c r="O7" s="42"/>
      <c r="P7" s="42"/>
      <c r="Q7" s="42"/>
    </row>
    <row r="8" spans="2:17" x14ac:dyDescent="0.2">
      <c r="B8" s="42"/>
      <c r="C8" s="42"/>
      <c r="D8" s="42"/>
      <c r="E8" s="42"/>
      <c r="F8" s="42"/>
      <c r="G8" s="42"/>
      <c r="H8" s="42"/>
      <c r="I8" s="42"/>
      <c r="J8" s="42"/>
      <c r="K8" s="42"/>
      <c r="L8" s="42"/>
      <c r="M8" s="42"/>
      <c r="N8" s="42"/>
      <c r="O8" s="42"/>
      <c r="P8" s="42"/>
      <c r="Q8" s="42"/>
    </row>
    <row r="9" spans="2:17" x14ac:dyDescent="0.2">
      <c r="B9" s="42"/>
      <c r="C9" s="42"/>
      <c r="D9" s="42"/>
      <c r="E9" s="42"/>
      <c r="F9" s="42"/>
      <c r="G9" s="42"/>
      <c r="H9" s="42"/>
      <c r="I9" s="42"/>
      <c r="J9" s="42"/>
      <c r="K9" s="42"/>
      <c r="L9" s="42"/>
      <c r="M9" s="42"/>
      <c r="N9" s="42"/>
      <c r="O9" s="42"/>
      <c r="P9" s="42"/>
      <c r="Q9" s="42"/>
    </row>
    <row r="11" spans="2:17" ht="16" x14ac:dyDescent="0.2">
      <c r="B11" s="43" t="s">
        <v>54</v>
      </c>
      <c r="C11" s="43"/>
      <c r="D11" s="43"/>
      <c r="F11" s="44" t="s">
        <v>55</v>
      </c>
      <c r="G11" s="44"/>
      <c r="H11" s="44"/>
      <c r="I11" s="44"/>
      <c r="J11" s="44"/>
      <c r="K11" s="44"/>
      <c r="L11" s="44"/>
      <c r="M11" s="44"/>
    </row>
    <row r="13" spans="2:17" x14ac:dyDescent="0.2">
      <c r="B13" t="s">
        <v>56</v>
      </c>
    </row>
    <row r="15" spans="2:17" x14ac:dyDescent="0.2">
      <c r="B15" t="s">
        <v>59</v>
      </c>
    </row>
    <row r="16" spans="2:17" x14ac:dyDescent="0.2">
      <c r="B16" t="s">
        <v>57</v>
      </c>
    </row>
    <row r="18" spans="2:8" x14ac:dyDescent="0.2">
      <c r="B18" t="s">
        <v>60</v>
      </c>
    </row>
    <row r="19" spans="2:8" x14ac:dyDescent="0.2">
      <c r="B19" t="s">
        <v>58</v>
      </c>
    </row>
    <row r="20" spans="2:8" x14ac:dyDescent="0.2">
      <c r="B20" t="s">
        <v>61</v>
      </c>
    </row>
    <row r="21" spans="2:8" x14ac:dyDescent="0.2">
      <c r="B21" t="s">
        <v>62</v>
      </c>
    </row>
    <row r="22" spans="2:8" x14ac:dyDescent="0.2">
      <c r="B22" t="s">
        <v>63</v>
      </c>
    </row>
    <row r="24" spans="2:8" x14ac:dyDescent="0.2">
      <c r="B24" s="15" t="s">
        <v>64</v>
      </c>
      <c r="C24" s="15" t="s">
        <v>65</v>
      </c>
      <c r="D24" s="15" t="s">
        <v>66</v>
      </c>
    </row>
    <row r="25" spans="2:8" x14ac:dyDescent="0.2">
      <c r="B25" s="2">
        <v>1</v>
      </c>
      <c r="C25" s="8" t="s">
        <v>67</v>
      </c>
      <c r="D25" s="2">
        <v>70</v>
      </c>
      <c r="F25" s="20" t="s">
        <v>64</v>
      </c>
      <c r="G25" s="20" t="s">
        <v>65</v>
      </c>
      <c r="H25" s="20" t="s">
        <v>77</v>
      </c>
    </row>
    <row r="26" spans="2:8" x14ac:dyDescent="0.2">
      <c r="B26" s="2">
        <v>2</v>
      </c>
      <c r="C26" s="8" t="s">
        <v>68</v>
      </c>
      <c r="D26" s="2">
        <v>61</v>
      </c>
      <c r="F26" s="3">
        <v>4</v>
      </c>
      <c r="G26" s="3"/>
      <c r="H26" s="3"/>
    </row>
    <row r="27" spans="2:8" x14ac:dyDescent="0.2">
      <c r="B27" s="2">
        <v>3</v>
      </c>
      <c r="C27" s="8" t="s">
        <v>69</v>
      </c>
      <c r="D27" s="2">
        <v>50</v>
      </c>
      <c r="F27" s="3">
        <v>5</v>
      </c>
      <c r="G27" s="3"/>
      <c r="H27" s="3"/>
    </row>
    <row r="28" spans="2:8" x14ac:dyDescent="0.2">
      <c r="B28" s="2">
        <v>4</v>
      </c>
      <c r="C28" s="8" t="s">
        <v>70</v>
      </c>
      <c r="D28" s="2">
        <v>45</v>
      </c>
      <c r="F28" s="3">
        <v>7</v>
      </c>
      <c r="G28" s="3"/>
      <c r="H28" s="3"/>
    </row>
    <row r="29" spans="2:8" x14ac:dyDescent="0.2">
      <c r="B29" s="2">
        <v>5</v>
      </c>
      <c r="C29" s="8" t="s">
        <v>71</v>
      </c>
      <c r="D29" s="2">
        <v>43</v>
      </c>
      <c r="F29" s="3">
        <v>2</v>
      </c>
      <c r="G29" s="3"/>
      <c r="H29" s="3"/>
    </row>
    <row r="30" spans="2:8" x14ac:dyDescent="0.2">
      <c r="B30" s="2">
        <v>6</v>
      </c>
      <c r="C30" s="8" t="s">
        <v>72</v>
      </c>
      <c r="D30" s="2">
        <v>42</v>
      </c>
    </row>
    <row r="31" spans="2:8" x14ac:dyDescent="0.2">
      <c r="B31" s="2">
        <v>7</v>
      </c>
      <c r="C31" s="8" t="s">
        <v>73</v>
      </c>
      <c r="D31" s="2">
        <v>40</v>
      </c>
    </row>
    <row r="32" spans="2:8" x14ac:dyDescent="0.2">
      <c r="B32" s="2">
        <v>8</v>
      </c>
      <c r="C32" s="8" t="s">
        <v>74</v>
      </c>
      <c r="D32" s="2">
        <v>39.35</v>
      </c>
    </row>
    <row r="33" spans="2:4" x14ac:dyDescent="0.2">
      <c r="B33" s="2">
        <v>9</v>
      </c>
      <c r="C33" s="8" t="s">
        <v>75</v>
      </c>
      <c r="D33" s="2">
        <v>35.5</v>
      </c>
    </row>
    <row r="34" spans="2:4" x14ac:dyDescent="0.2">
      <c r="B34" s="2">
        <v>10</v>
      </c>
      <c r="C34" s="8" t="s">
        <v>76</v>
      </c>
      <c r="D34" s="2">
        <v>35</v>
      </c>
    </row>
    <row r="35" spans="2:4" x14ac:dyDescent="0.2">
      <c r="C35" s="16"/>
    </row>
  </sheetData>
  <mergeCells count="4">
    <mergeCell ref="B2:Q5"/>
    <mergeCell ref="B7:Q9"/>
    <mergeCell ref="B11:D11"/>
    <mergeCell ref="F11:M11"/>
  </mergeCells>
  <dataValidations disablePrompts="1" count="1">
    <dataValidation type="list" allowBlank="1" showInputMessage="1" showErrorMessage="1" sqref="F34" xr:uid="{3A9EE9AA-8D12-4788-AF20-E8AA6A8E607E}">
      <formula1>$B$25:$B$34</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69163-8ED4-4508-B550-88F17167F9B1}">
  <dimension ref="B2:Q26"/>
  <sheetViews>
    <sheetView topLeftCell="A15" zoomScale="168" zoomScaleNormal="115" workbookViewId="0">
      <selection activeCell="B18" sqref="B18:B21"/>
    </sheetView>
  </sheetViews>
  <sheetFormatPr baseColWidth="10" defaultColWidth="8.83203125" defaultRowHeight="15" x14ac:dyDescent="0.2"/>
  <cols>
    <col min="2" max="2" width="16.33203125" customWidth="1"/>
  </cols>
  <sheetData>
    <row r="2" spans="2:17" x14ac:dyDescent="0.2">
      <c r="B2" s="41" t="s">
        <v>108</v>
      </c>
      <c r="C2" s="41"/>
      <c r="D2" s="41"/>
      <c r="E2" s="41"/>
      <c r="F2" s="41"/>
      <c r="G2" s="41"/>
      <c r="H2" s="41"/>
      <c r="I2" s="41"/>
      <c r="J2" s="41"/>
      <c r="K2" s="41"/>
      <c r="L2" s="41"/>
      <c r="M2" s="41"/>
      <c r="N2" s="41"/>
      <c r="O2" s="41"/>
      <c r="P2" s="41"/>
      <c r="Q2" s="41"/>
    </row>
    <row r="3" spans="2:17" x14ac:dyDescent="0.2">
      <c r="B3" s="41"/>
      <c r="C3" s="41"/>
      <c r="D3" s="41"/>
      <c r="E3" s="41"/>
      <c r="F3" s="41"/>
      <c r="G3" s="41"/>
      <c r="H3" s="41"/>
      <c r="I3" s="41"/>
      <c r="J3" s="41"/>
      <c r="K3" s="41"/>
      <c r="L3" s="41"/>
      <c r="M3" s="41"/>
      <c r="N3" s="41"/>
      <c r="O3" s="41"/>
      <c r="P3" s="41"/>
      <c r="Q3" s="41"/>
    </row>
    <row r="4" spans="2:17" x14ac:dyDescent="0.2">
      <c r="B4" s="41"/>
      <c r="C4" s="41"/>
      <c r="D4" s="41"/>
      <c r="E4" s="41"/>
      <c r="F4" s="41"/>
      <c r="G4" s="41"/>
      <c r="H4" s="41"/>
      <c r="I4" s="41"/>
      <c r="J4" s="41"/>
      <c r="K4" s="41"/>
      <c r="L4" s="41"/>
      <c r="M4" s="41"/>
      <c r="N4" s="41"/>
      <c r="O4" s="41"/>
      <c r="P4" s="41"/>
      <c r="Q4" s="41"/>
    </row>
    <row r="6" spans="2:17" ht="16" x14ac:dyDescent="0.2">
      <c r="B6" s="43" t="s">
        <v>78</v>
      </c>
      <c r="C6" s="43"/>
      <c r="D6" s="43"/>
      <c r="F6" s="44" t="s">
        <v>79</v>
      </c>
      <c r="G6" s="44"/>
      <c r="H6" s="44"/>
      <c r="I6" s="44"/>
      <c r="J6" s="44"/>
      <c r="K6" s="44"/>
      <c r="L6" s="44"/>
      <c r="M6" s="44"/>
    </row>
    <row r="7" spans="2:17" ht="16.5" customHeight="1" x14ac:dyDescent="0.2">
      <c r="B7" s="17"/>
      <c r="C7" s="17"/>
    </row>
    <row r="8" spans="2:17" x14ac:dyDescent="0.2">
      <c r="B8" t="s">
        <v>81</v>
      </c>
    </row>
    <row r="9" spans="2:17" x14ac:dyDescent="0.2">
      <c r="B9" t="s">
        <v>82</v>
      </c>
    </row>
    <row r="10" spans="2:17" x14ac:dyDescent="0.2">
      <c r="B10" t="s">
        <v>83</v>
      </c>
    </row>
    <row r="11" spans="2:17" x14ac:dyDescent="0.2">
      <c r="B11" t="s">
        <v>80</v>
      </c>
    </row>
    <row r="13" spans="2:17" x14ac:dyDescent="0.2">
      <c r="B13" t="s">
        <v>84</v>
      </c>
    </row>
    <row r="15" spans="2:17" x14ac:dyDescent="0.2">
      <c r="B15" t="s">
        <v>85</v>
      </c>
    </row>
    <row r="18" spans="2:10" x14ac:dyDescent="0.2">
      <c r="B18" s="18" t="s">
        <v>86</v>
      </c>
      <c r="C18" s="2" t="s">
        <v>87</v>
      </c>
      <c r="D18" s="2" t="s">
        <v>88</v>
      </c>
      <c r="E18" s="2" t="s">
        <v>89</v>
      </c>
      <c r="F18" s="2" t="s">
        <v>90</v>
      </c>
      <c r="G18" s="2" t="s">
        <v>91</v>
      </c>
      <c r="H18" s="2" t="s">
        <v>92</v>
      </c>
      <c r="I18" s="2" t="s">
        <v>93</v>
      </c>
      <c r="J18" s="2" t="s">
        <v>94</v>
      </c>
    </row>
    <row r="19" spans="2:10" x14ac:dyDescent="0.2">
      <c r="B19" s="18" t="s">
        <v>95</v>
      </c>
      <c r="C19" s="19">
        <v>12755</v>
      </c>
      <c r="D19" s="19">
        <v>6790</v>
      </c>
      <c r="E19" s="19">
        <v>4878</v>
      </c>
      <c r="F19" s="19">
        <v>12104</v>
      </c>
      <c r="G19" s="19">
        <v>142796</v>
      </c>
      <c r="H19" s="19">
        <v>120660</v>
      </c>
      <c r="I19" s="19">
        <v>51118</v>
      </c>
      <c r="J19" s="19">
        <v>49528</v>
      </c>
    </row>
    <row r="20" spans="2:10" x14ac:dyDescent="0.2">
      <c r="B20" s="18" t="s">
        <v>109</v>
      </c>
      <c r="C20" s="3">
        <v>111</v>
      </c>
      <c r="D20" s="3">
        <v>222</v>
      </c>
      <c r="E20" s="3">
        <v>333</v>
      </c>
      <c r="F20" s="3">
        <v>444</v>
      </c>
      <c r="G20" s="3">
        <v>555</v>
      </c>
      <c r="H20" s="3">
        <v>666</v>
      </c>
      <c r="I20" s="3">
        <v>777</v>
      </c>
      <c r="J20" s="3">
        <v>888</v>
      </c>
    </row>
    <row r="21" spans="2:10" x14ac:dyDescent="0.2">
      <c r="B21" s="18" t="s">
        <v>110</v>
      </c>
      <c r="C21" s="3">
        <f>HLOOKUP(HLOOKUP!C18,Temp,2,FALSE)</f>
        <v>59</v>
      </c>
      <c r="D21" s="3">
        <f>HLOOKUP(HLOOKUP!D18,Temp,2,FALSE)</f>
        <v>-9.4</v>
      </c>
      <c r="E21" s="3">
        <f>HLOOKUP(HLOOKUP!E18,Temp,2,FALSE)</f>
        <v>468</v>
      </c>
      <c r="F21" s="3">
        <f>HLOOKUP(HLOOKUP!F18,Temp,2,FALSE)</f>
        <v>869</v>
      </c>
      <c r="G21" s="3">
        <f>HLOOKUP(HLOOKUP!G18,Temp,2,FALSE)</f>
        <v>-238</v>
      </c>
      <c r="H21" s="3">
        <f>HLOOKUP(HLOOKUP!H18,Temp,2,FALSE)</f>
        <v>-292</v>
      </c>
      <c r="I21" s="3">
        <f>HLOOKUP(HLOOKUP!I18,Temp,2,FALSE)</f>
        <v>-357</v>
      </c>
      <c r="J21" s="3">
        <f>HLOOKUP(HLOOKUP!J18,Temp,2,FALSE)</f>
        <v>-346</v>
      </c>
    </row>
    <row r="23" spans="2:10" x14ac:dyDescent="0.2">
      <c r="B23" s="4" t="s">
        <v>86</v>
      </c>
      <c r="C23" s="3" t="s">
        <v>89</v>
      </c>
    </row>
    <row r="24" spans="2:10" x14ac:dyDescent="0.2">
      <c r="B24" s="4" t="s">
        <v>95</v>
      </c>
      <c r="C24" s="3">
        <f>HLOOKUP($C$23,$B$18:$J$21,MATCH(B24,$B$18:$B$21,0),FALSE)</f>
        <v>4878</v>
      </c>
    </row>
    <row r="25" spans="2:10" x14ac:dyDescent="0.2">
      <c r="B25" s="4" t="s">
        <v>109</v>
      </c>
      <c r="C25" s="3">
        <f>HLOOKUP($C$23,$B$18:$J$21,MATCH(B25,$B$18:$B$21,0),FALSE)</f>
        <v>333</v>
      </c>
    </row>
    <row r="26" spans="2:10" x14ac:dyDescent="0.2">
      <c r="B26" s="4" t="s">
        <v>110</v>
      </c>
      <c r="C26" s="3">
        <f>HLOOKUP($C$23,$B$18:$J$21,MATCH(B26,$B$18:$B$21,0),FALSE)</f>
        <v>468</v>
      </c>
    </row>
  </sheetData>
  <dataConsolidate/>
  <mergeCells count="3">
    <mergeCell ref="B2:Q4"/>
    <mergeCell ref="B6:D6"/>
    <mergeCell ref="F6:M6"/>
  </mergeCells>
  <dataValidations count="1">
    <dataValidation type="list" allowBlank="1" showInputMessage="1" showErrorMessage="1" sqref="C23" xr:uid="{CB895C89-2B53-4EA2-B856-9ABA226A26DE}">
      <formula1>$C$18:$J$18</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EBD0C-7074-415E-8082-546D486D951D}">
  <dimension ref="A1:I13"/>
  <sheetViews>
    <sheetView tabSelected="1" zoomScale="130" zoomScaleNormal="130" workbookViewId="0">
      <selection activeCell="J4" sqref="J4"/>
    </sheetView>
  </sheetViews>
  <sheetFormatPr baseColWidth="10" defaultColWidth="8.83203125" defaultRowHeight="15" x14ac:dyDescent="0.2"/>
  <cols>
    <col min="1" max="1" width="14.5" bestFit="1" customWidth="1"/>
    <col min="3" max="3" width="10.1640625" customWidth="1"/>
  </cols>
  <sheetData>
    <row r="1" spans="1:9" x14ac:dyDescent="0.2">
      <c r="A1" s="18" t="s">
        <v>86</v>
      </c>
      <c r="B1" s="2" t="s">
        <v>89</v>
      </c>
      <c r="C1" s="2" t="s">
        <v>90</v>
      </c>
      <c r="D1" s="2" t="s">
        <v>87</v>
      </c>
      <c r="E1" s="2" t="s">
        <v>88</v>
      </c>
      <c r="F1" s="2" t="s">
        <v>91</v>
      </c>
      <c r="G1" s="2" t="s">
        <v>92</v>
      </c>
      <c r="H1" s="2" t="s">
        <v>93</v>
      </c>
      <c r="I1" s="2" t="s">
        <v>94</v>
      </c>
    </row>
    <row r="2" spans="1:9" x14ac:dyDescent="0.2">
      <c r="A2" s="18" t="s">
        <v>110</v>
      </c>
      <c r="B2" s="2">
        <v>468</v>
      </c>
      <c r="C2" s="2">
        <v>869</v>
      </c>
      <c r="D2" s="2">
        <v>59</v>
      </c>
      <c r="E2" s="2">
        <v>-9.4</v>
      </c>
      <c r="F2" s="2">
        <v>-238</v>
      </c>
      <c r="G2" s="2">
        <v>-292</v>
      </c>
      <c r="H2" s="2">
        <v>-357</v>
      </c>
      <c r="I2" s="2">
        <v>-346</v>
      </c>
    </row>
    <row r="3" spans="1:9" x14ac:dyDescent="0.2">
      <c r="A3" s="18" t="s">
        <v>95</v>
      </c>
      <c r="B3" s="31">
        <f>HLOOKUP(B1,Diameter,MATCH($A$3,planetall,0),FALSE)</f>
        <v>4878</v>
      </c>
      <c r="C3" s="31">
        <f>HLOOKUP(C1,Diameter,MATCH($A$3,planetall,0),FALSE)</f>
        <v>12104</v>
      </c>
      <c r="D3" s="31">
        <f>HLOOKUP(D1,Diameter,MATCH($A$3,planetall,0),FALSE)</f>
        <v>12755</v>
      </c>
      <c r="E3" s="31">
        <f>HLOOKUP(E1,Diameter,MATCH($A$3,planetall,0),FALSE)</f>
        <v>6790</v>
      </c>
      <c r="F3" s="31">
        <f>HLOOKUP(F1,Diameter,MATCH($A$3,planetall,0),FALSE)</f>
        <v>142796</v>
      </c>
      <c r="G3" s="31">
        <f>HLOOKUP(G1,Diameter,MATCH($A$3,planetall,0),FALSE)</f>
        <v>120660</v>
      </c>
      <c r="H3" s="31">
        <f>HLOOKUP(H1,Diameter,MATCH($A$3,planetall,0),FALSE)</f>
        <v>51118</v>
      </c>
      <c r="I3" s="31">
        <f>HLOOKUP(I1,Diameter,MATCH(H3,HLOOKUP!I18:I21,0),FALSE)</f>
        <v>49528</v>
      </c>
    </row>
    <row r="12" spans="1:9" x14ac:dyDescent="0.2">
      <c r="B12" s="46" t="s">
        <v>86</v>
      </c>
      <c r="C12" t="s">
        <v>90</v>
      </c>
    </row>
    <row r="13" spans="1:9" x14ac:dyDescent="0.2">
      <c r="B13" s="46" t="s">
        <v>95</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2B458-3801-4A6D-9422-25DE16CA3CEF}">
  <dimension ref="B3:I23"/>
  <sheetViews>
    <sheetView zoomScaleNormal="100" workbookViewId="0">
      <selection activeCell="C22" sqref="C22"/>
    </sheetView>
  </sheetViews>
  <sheetFormatPr baseColWidth="10" defaultColWidth="8.83203125" defaultRowHeight="15" x14ac:dyDescent="0.2"/>
  <cols>
    <col min="2" max="2" width="15.83203125" bestFit="1" customWidth="1"/>
    <col min="5" max="5" width="11.6640625" bestFit="1" customWidth="1"/>
  </cols>
  <sheetData>
    <row r="3" spans="2:9" ht="16" x14ac:dyDescent="0.2">
      <c r="B3" s="21" t="s">
        <v>96</v>
      </c>
      <c r="C3" s="22"/>
      <c r="D3" s="22"/>
      <c r="E3" s="22"/>
      <c r="F3" s="22"/>
      <c r="G3" s="22"/>
    </row>
    <row r="4" spans="2:9" ht="16" x14ac:dyDescent="0.2">
      <c r="B4" s="23"/>
      <c r="C4" s="23"/>
      <c r="D4" s="23"/>
      <c r="E4" s="23"/>
      <c r="F4" s="23"/>
      <c r="G4" s="23"/>
    </row>
    <row r="5" spans="2:9" ht="16" x14ac:dyDescent="0.2">
      <c r="B5" s="23" t="s">
        <v>97</v>
      </c>
      <c r="C5" s="24"/>
      <c r="D5" s="25"/>
      <c r="E5" s="25" t="s">
        <v>117</v>
      </c>
      <c r="F5" s="25"/>
      <c r="G5" s="25"/>
    </row>
    <row r="6" spans="2:9" ht="16" x14ac:dyDescent="0.2">
      <c r="B6" s="23"/>
      <c r="C6" s="23"/>
      <c r="D6" s="23"/>
      <c r="E6" s="23"/>
      <c r="F6" s="23"/>
      <c r="G6" s="23"/>
      <c r="I6" s="32"/>
    </row>
    <row r="7" spans="2:9" ht="16" x14ac:dyDescent="0.2">
      <c r="B7" s="26" t="s">
        <v>98</v>
      </c>
      <c r="C7" s="26" t="s">
        <v>18</v>
      </c>
      <c r="D7" s="26" t="s">
        <v>19</v>
      </c>
      <c r="E7" s="26" t="s">
        <v>20</v>
      </c>
      <c r="F7" s="26" t="s">
        <v>21</v>
      </c>
      <c r="G7" s="26" t="s">
        <v>99</v>
      </c>
    </row>
    <row r="8" spans="2:9" ht="16" x14ac:dyDescent="0.2">
      <c r="B8" s="26" t="s">
        <v>100</v>
      </c>
      <c r="C8" s="27">
        <v>4500</v>
      </c>
      <c r="D8" s="27">
        <v>5000</v>
      </c>
      <c r="E8" s="28">
        <v>5000</v>
      </c>
      <c r="F8" s="27">
        <v>5000</v>
      </c>
      <c r="G8" s="27">
        <v>5000</v>
      </c>
      <c r="I8" s="32"/>
    </row>
    <row r="9" spans="2:9" ht="16" x14ac:dyDescent="0.2">
      <c r="B9" s="26" t="s">
        <v>101</v>
      </c>
      <c r="C9" s="27">
        <v>3500</v>
      </c>
      <c r="D9" s="27">
        <v>2000</v>
      </c>
      <c r="E9" s="28">
        <v>3000</v>
      </c>
      <c r="F9" s="27">
        <v>3000</v>
      </c>
      <c r="G9" s="27">
        <v>3000</v>
      </c>
    </row>
    <row r="10" spans="2:9" ht="16" x14ac:dyDescent="0.2">
      <c r="B10" s="26" t="s">
        <v>102</v>
      </c>
      <c r="C10" s="29">
        <v>2500</v>
      </c>
      <c r="D10" s="27">
        <v>3200</v>
      </c>
      <c r="E10" s="28">
        <v>3500</v>
      </c>
      <c r="F10" s="27">
        <v>2500</v>
      </c>
      <c r="G10" s="27">
        <v>400</v>
      </c>
    </row>
    <row r="11" spans="2:9" ht="16" x14ac:dyDescent="0.2">
      <c r="B11" s="26" t="s">
        <v>103</v>
      </c>
      <c r="C11" s="27">
        <v>4200</v>
      </c>
      <c r="D11" s="27">
        <v>4800</v>
      </c>
      <c r="E11" s="28">
        <v>4500</v>
      </c>
      <c r="F11" s="27">
        <v>1500</v>
      </c>
      <c r="G11" s="27">
        <v>2500</v>
      </c>
    </row>
    <row r="12" spans="2:9" ht="16" x14ac:dyDescent="0.2">
      <c r="B12" s="26" t="s">
        <v>104</v>
      </c>
      <c r="C12" s="27">
        <v>5800</v>
      </c>
      <c r="D12" s="27">
        <v>3200</v>
      </c>
      <c r="E12" s="28">
        <v>4400</v>
      </c>
      <c r="F12" s="27">
        <v>1500</v>
      </c>
      <c r="G12" s="27">
        <v>500</v>
      </c>
    </row>
    <row r="15" spans="2:9" ht="16" x14ac:dyDescent="0.2">
      <c r="B15" s="26" t="s">
        <v>98</v>
      </c>
      <c r="C15" s="26" t="s">
        <v>18</v>
      </c>
      <c r="D15" s="26" t="s">
        <v>19</v>
      </c>
      <c r="E15" s="26" t="s">
        <v>20</v>
      </c>
      <c r="F15" s="26" t="s">
        <v>21</v>
      </c>
      <c r="G15" s="26" t="s">
        <v>99</v>
      </c>
    </row>
    <row r="16" spans="2:9" ht="16" x14ac:dyDescent="0.2">
      <c r="B16" s="26" t="s">
        <v>100</v>
      </c>
      <c r="C16" s="27">
        <v>4500</v>
      </c>
      <c r="D16" s="27">
        <v>5000</v>
      </c>
      <c r="E16" s="27">
        <v>5000</v>
      </c>
      <c r="F16" s="27">
        <v>5000</v>
      </c>
      <c r="G16" s="27">
        <v>5000</v>
      </c>
    </row>
    <row r="17" spans="2:7" ht="16" x14ac:dyDescent="0.2">
      <c r="B17" s="26" t="s">
        <v>101</v>
      </c>
      <c r="C17" s="27">
        <v>3500</v>
      </c>
      <c r="D17" s="27">
        <v>2000</v>
      </c>
      <c r="E17" s="27">
        <v>3000</v>
      </c>
      <c r="F17" s="27">
        <v>3000</v>
      </c>
      <c r="G17" s="27">
        <v>3000</v>
      </c>
    </row>
    <row r="18" spans="2:7" ht="16" x14ac:dyDescent="0.2">
      <c r="B18" s="26" t="s">
        <v>102</v>
      </c>
      <c r="C18" s="28">
        <v>2500</v>
      </c>
      <c r="D18" s="27">
        <v>3200</v>
      </c>
      <c r="E18" s="27">
        <v>3500</v>
      </c>
      <c r="F18" s="27">
        <v>2500</v>
      </c>
      <c r="G18" s="27">
        <v>400</v>
      </c>
    </row>
    <row r="19" spans="2:7" ht="16" x14ac:dyDescent="0.2">
      <c r="B19" s="26" t="s">
        <v>103</v>
      </c>
      <c r="C19" s="27">
        <v>4200</v>
      </c>
      <c r="D19" s="27">
        <v>4800</v>
      </c>
      <c r="E19" s="27">
        <v>4500</v>
      </c>
      <c r="F19" s="27">
        <v>1500</v>
      </c>
      <c r="G19" s="27">
        <v>2500</v>
      </c>
    </row>
    <row r="20" spans="2:7" ht="16" x14ac:dyDescent="0.2">
      <c r="B20" s="26" t="s">
        <v>104</v>
      </c>
      <c r="C20" s="27">
        <v>5800</v>
      </c>
      <c r="D20" s="27">
        <v>3200</v>
      </c>
      <c r="E20" s="27">
        <v>4400</v>
      </c>
      <c r="F20" s="27">
        <v>1500</v>
      </c>
      <c r="G20" s="27">
        <v>500</v>
      </c>
    </row>
    <row r="21" spans="2:7" ht="16" x14ac:dyDescent="0.2">
      <c r="B21" s="23"/>
      <c r="C21" s="23"/>
      <c r="D21" s="23"/>
      <c r="E21" s="23"/>
      <c r="F21" s="23"/>
      <c r="G21" s="23"/>
    </row>
    <row r="22" spans="2:7" ht="16" x14ac:dyDescent="0.2">
      <c r="B22" s="45" t="s">
        <v>106</v>
      </c>
      <c r="C22" s="30">
        <f ca="1">OFFSET(G15,3,-4)</f>
        <v>2500</v>
      </c>
      <c r="D22" s="23"/>
      <c r="E22" s="23"/>
      <c r="F22" s="23"/>
      <c r="G22" s="23"/>
    </row>
    <row r="23" spans="2:7" x14ac:dyDescent="0.2">
      <c r="B23" s="45"/>
    </row>
  </sheetData>
  <mergeCells count="1">
    <mergeCell ref="B22:B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CCC3B-7669-464B-A51B-001D3BF716AA}">
  <dimension ref="B2:I11"/>
  <sheetViews>
    <sheetView workbookViewId="0">
      <selection activeCell="J16" sqref="J16"/>
    </sheetView>
  </sheetViews>
  <sheetFormatPr baseColWidth="10" defaultColWidth="8.83203125" defaultRowHeight="15" x14ac:dyDescent="0.2"/>
  <cols>
    <col min="2" max="2" width="20.1640625" bestFit="1" customWidth="1"/>
  </cols>
  <sheetData>
    <row r="2" spans="2:9" ht="16" x14ac:dyDescent="0.2">
      <c r="B2" s="21" t="s">
        <v>96</v>
      </c>
      <c r="C2" s="22"/>
      <c r="D2" s="22"/>
      <c r="E2" s="22"/>
      <c r="F2" s="22"/>
      <c r="G2" s="22"/>
      <c r="I2" t="s">
        <v>116</v>
      </c>
    </row>
    <row r="3" spans="2:9" ht="16" x14ac:dyDescent="0.2">
      <c r="B3" s="23"/>
      <c r="C3" s="23" t="s">
        <v>111</v>
      </c>
      <c r="D3" s="23" t="s">
        <v>112</v>
      </c>
      <c r="E3" s="23" t="s">
        <v>113</v>
      </c>
      <c r="F3" s="23" t="s">
        <v>114</v>
      </c>
      <c r="G3" s="23" t="s">
        <v>115</v>
      </c>
    </row>
    <row r="4" spans="2:9" ht="16" x14ac:dyDescent="0.2">
      <c r="B4" s="23" t="s">
        <v>105</v>
      </c>
      <c r="C4" s="25"/>
      <c r="D4" s="25"/>
      <c r="E4" s="25"/>
      <c r="F4" s="25"/>
      <c r="G4" s="25"/>
    </row>
    <row r="5" spans="2:9" ht="16" x14ac:dyDescent="0.2">
      <c r="B5" s="23"/>
      <c r="C5" s="23"/>
      <c r="D5" s="23"/>
      <c r="E5" s="23"/>
      <c r="F5" s="23"/>
      <c r="G5" s="23"/>
    </row>
    <row r="6" spans="2:9" ht="16" x14ac:dyDescent="0.2">
      <c r="B6" s="26" t="s">
        <v>98</v>
      </c>
      <c r="C6" s="26" t="s">
        <v>18</v>
      </c>
      <c r="D6" s="26" t="s">
        <v>19</v>
      </c>
      <c r="E6" s="26" t="s">
        <v>20</v>
      </c>
      <c r="F6" s="26" t="s">
        <v>21</v>
      </c>
      <c r="G6" s="26" t="s">
        <v>99</v>
      </c>
    </row>
    <row r="7" spans="2:9" ht="16" x14ac:dyDescent="0.2">
      <c r="B7" s="26" t="s">
        <v>100</v>
      </c>
      <c r="C7" s="27">
        <v>4500</v>
      </c>
      <c r="D7" s="27">
        <v>5000</v>
      </c>
      <c r="E7" s="27">
        <v>5000</v>
      </c>
      <c r="F7" s="27">
        <v>5000</v>
      </c>
      <c r="G7" s="27">
        <v>5000</v>
      </c>
    </row>
    <row r="8" spans="2:9" ht="16" x14ac:dyDescent="0.2">
      <c r="B8" s="26" t="s">
        <v>101</v>
      </c>
      <c r="C8" s="27">
        <v>3500</v>
      </c>
      <c r="D8" s="27">
        <v>2000</v>
      </c>
      <c r="E8" s="27">
        <v>3000</v>
      </c>
      <c r="F8" s="27">
        <v>3000</v>
      </c>
      <c r="G8" s="27">
        <v>3000</v>
      </c>
    </row>
    <row r="9" spans="2:9" ht="16" x14ac:dyDescent="0.2">
      <c r="B9" s="26" t="s">
        <v>102</v>
      </c>
      <c r="C9" s="29">
        <v>2500</v>
      </c>
      <c r="D9" s="27">
        <v>3200</v>
      </c>
      <c r="E9" s="27">
        <v>3500</v>
      </c>
      <c r="F9" s="27">
        <v>2500</v>
      </c>
      <c r="G9" s="27">
        <v>400</v>
      </c>
    </row>
    <row r="10" spans="2:9" ht="16" x14ac:dyDescent="0.2">
      <c r="B10" s="26" t="s">
        <v>103</v>
      </c>
      <c r="C10" s="27">
        <v>4200</v>
      </c>
      <c r="D10" s="27">
        <v>4800</v>
      </c>
      <c r="E10" s="27">
        <v>4500</v>
      </c>
      <c r="F10" s="27">
        <v>1500</v>
      </c>
      <c r="G10" s="27">
        <v>2500</v>
      </c>
    </row>
    <row r="11" spans="2:9" ht="16" x14ac:dyDescent="0.2">
      <c r="B11" s="26" t="s">
        <v>104</v>
      </c>
      <c r="C11" s="27">
        <v>5800</v>
      </c>
      <c r="D11" s="27">
        <v>3200</v>
      </c>
      <c r="E11" s="27">
        <v>4400</v>
      </c>
      <c r="F11" s="27">
        <v>1500</v>
      </c>
      <c r="G11" s="27">
        <v>500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INDEX</vt:lpstr>
      <vt:lpstr>MATCH</vt:lpstr>
      <vt:lpstr>INDEX MATCH</vt:lpstr>
      <vt:lpstr>VLOOKUP</vt:lpstr>
      <vt:lpstr>HLOOKUP</vt:lpstr>
      <vt:lpstr>HLOOKUP another sheet</vt:lpstr>
      <vt:lpstr>OFFSET</vt:lpstr>
      <vt:lpstr>OFFSET-1</vt:lpstr>
      <vt:lpstr>Diameter</vt:lpstr>
      <vt:lpstr>planetall</vt:lpstr>
      <vt:lpstr>Temp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karan dhakate</cp:lastModifiedBy>
  <dcterms:created xsi:type="dcterms:W3CDTF">2015-06-05T18:17:20Z</dcterms:created>
  <dcterms:modified xsi:type="dcterms:W3CDTF">2026-10-09T07:36:47Z</dcterms:modified>
</cp:coreProperties>
</file>