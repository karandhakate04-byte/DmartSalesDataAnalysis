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88FFDEE5-7296-BE4B-9A00-B5897A6BE818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1" l="1"/>
  <c r="O8" i="11"/>
  <c r="O9" i="11"/>
  <c r="O10" i="11"/>
  <c r="O6" i="11"/>
  <c r="N7" i="11"/>
  <c r="N8" i="11"/>
  <c r="N9" i="11"/>
  <c r="N10" i="11"/>
  <c r="N6" i="11"/>
  <c r="M7" i="11"/>
  <c r="M8" i="11"/>
  <c r="M9" i="11"/>
  <c r="M10" i="11"/>
  <c r="M6" i="11"/>
  <c r="L7" i="11"/>
  <c r="L8" i="11"/>
  <c r="L9" i="11"/>
  <c r="L10" i="11"/>
  <c r="L6" i="11"/>
  <c r="K7" i="11"/>
  <c r="K8" i="11"/>
  <c r="K9" i="11"/>
  <c r="K10" i="11"/>
  <c r="K6" i="11"/>
  <c r="J7" i="11"/>
  <c r="J8" i="11"/>
  <c r="J9" i="11"/>
  <c r="J10" i="11"/>
  <c r="J6" i="11"/>
  <c r="I7" i="11"/>
  <c r="I8" i="11"/>
  <c r="I9" i="11"/>
  <c r="I10" i="11"/>
  <c r="I6" i="11"/>
  <c r="H7" i="11"/>
  <c r="H8" i="11"/>
  <c r="H9" i="11"/>
  <c r="H10" i="11"/>
  <c r="H6" i="11"/>
  <c r="G7" i="11"/>
  <c r="G8" i="11"/>
  <c r="G9" i="11"/>
  <c r="G10" i="11"/>
  <c r="G6" i="11"/>
  <c r="F7" i="11"/>
  <c r="F8" i="11"/>
  <c r="F9" i="11"/>
  <c r="F10" i="11"/>
  <c r="F6" i="11"/>
  <c r="F7" i="10"/>
  <c r="F8" i="10"/>
  <c r="F9" i="10"/>
  <c r="F10" i="10"/>
  <c r="F6" i="10"/>
  <c r="G6" i="10"/>
  <c r="G7" i="10"/>
  <c r="G8" i="10"/>
  <c r="G9" i="10"/>
  <c r="G10" i="10"/>
  <c r="E7" i="10"/>
  <c r="E8" i="10"/>
  <c r="E9" i="10"/>
  <c r="E10" i="10"/>
  <c r="E6" i="10"/>
  <c r="D7" i="10"/>
  <c r="D8" i="10"/>
  <c r="D9" i="10"/>
  <c r="D10" i="10"/>
  <c r="D6" i="10"/>
  <c r="C6" i="10"/>
  <c r="C7" i="10"/>
  <c r="C8" i="10"/>
  <c r="C9" i="10"/>
  <c r="C10" i="10"/>
  <c r="G7" i="9"/>
  <c r="G8" i="9"/>
  <c r="G9" i="9"/>
  <c r="G10" i="9"/>
  <c r="G6" i="9"/>
  <c r="E7" i="9"/>
  <c r="E8" i="9"/>
  <c r="E9" i="9"/>
  <c r="E10" i="9"/>
  <c r="E6" i="9"/>
  <c r="D7" i="9"/>
  <c r="D8" i="9"/>
  <c r="D9" i="9"/>
  <c r="D10" i="9"/>
  <c r="D6" i="9"/>
  <c r="F7" i="9"/>
  <c r="F8" i="9"/>
  <c r="F9" i="9"/>
  <c r="F10" i="9"/>
  <c r="F6" i="9"/>
  <c r="G6" i="8"/>
  <c r="G7" i="8"/>
  <c r="G8" i="8"/>
  <c r="G9" i="8"/>
  <c r="G10" i="8"/>
  <c r="F7" i="8"/>
  <c r="F8" i="8"/>
  <c r="F9" i="8"/>
  <c r="F10" i="8"/>
  <c r="F6" i="8"/>
  <c r="E7" i="8"/>
  <c r="E8" i="8"/>
  <c r="E9" i="8"/>
  <c r="E10" i="8"/>
  <c r="E6" i="8"/>
  <c r="D7" i="8"/>
  <c r="D8" i="8"/>
  <c r="D9" i="8"/>
  <c r="D10" i="8"/>
  <c r="D6" i="8"/>
  <c r="G6" i="7"/>
  <c r="G7" i="7"/>
  <c r="G8" i="7"/>
  <c r="G9" i="7"/>
  <c r="G10" i="7"/>
  <c r="F6" i="7"/>
  <c r="F7" i="7"/>
  <c r="F8" i="7"/>
  <c r="F9" i="7"/>
  <c r="F10" i="7"/>
  <c r="E7" i="7"/>
  <c r="E8" i="7"/>
  <c r="E9" i="7"/>
  <c r="E10" i="7"/>
  <c r="E6" i="7"/>
  <c r="D7" i="7"/>
  <c r="D8" i="7"/>
  <c r="D9" i="7"/>
  <c r="D10" i="7"/>
  <c r="D6" i="7"/>
  <c r="G7" i="6"/>
  <c r="G8" i="6"/>
  <c r="G9" i="6"/>
  <c r="G10" i="6"/>
  <c r="G6" i="6"/>
  <c r="F7" i="6"/>
  <c r="F8" i="6"/>
  <c r="F9" i="6"/>
  <c r="F10" i="6"/>
  <c r="F6" i="6"/>
  <c r="E7" i="6"/>
  <c r="E8" i="6"/>
  <c r="E9" i="6"/>
  <c r="E10" i="6"/>
  <c r="E6" i="6"/>
  <c r="D6" i="6"/>
  <c r="D7" i="6"/>
  <c r="D8" i="6"/>
  <c r="D9" i="6"/>
  <c r="D10" i="6"/>
  <c r="C7" i="6"/>
  <c r="C8" i="6"/>
  <c r="C9" i="6"/>
  <c r="C10" i="6"/>
  <c r="C6" i="6"/>
  <c r="G7" i="4"/>
  <c r="G8" i="4"/>
  <c r="G9" i="4"/>
  <c r="G10" i="4"/>
  <c r="G7" i="5" l="1"/>
  <c r="G8" i="5"/>
  <c r="G9" i="5"/>
  <c r="G10" i="5"/>
  <c r="G6" i="5"/>
  <c r="F7" i="5"/>
  <c r="F8" i="5"/>
  <c r="F9" i="5"/>
  <c r="F10" i="5"/>
  <c r="F6" i="5"/>
  <c r="E6" i="5"/>
  <c r="E7" i="5"/>
  <c r="E8" i="5"/>
  <c r="E9" i="5"/>
  <c r="E10" i="5"/>
  <c r="D7" i="5"/>
  <c r="D8" i="5"/>
  <c r="D9" i="5"/>
  <c r="D10" i="5"/>
  <c r="D6" i="5"/>
  <c r="F7" i="4" l="1"/>
  <c r="F8" i="4"/>
  <c r="F9" i="4"/>
  <c r="F10" i="4"/>
  <c r="F6" i="4"/>
  <c r="E7" i="4"/>
  <c r="E8" i="4"/>
  <c r="E9" i="4"/>
  <c r="E10" i="4"/>
  <c r="E6" i="4"/>
  <c r="E14" i="4"/>
  <c r="G33" i="3"/>
  <c r="H33" i="3"/>
  <c r="G15" i="3"/>
  <c r="E44" i="3"/>
  <c r="D44" i="3"/>
  <c r="E39" i="3"/>
  <c r="E40" i="3"/>
  <c r="D40" i="3"/>
  <c r="D39" i="3"/>
  <c r="C39" i="3"/>
  <c r="C40" i="3"/>
  <c r="J29" i="3"/>
  <c r="J28" i="3"/>
  <c r="G9" i="3"/>
  <c r="G10" i="3"/>
  <c r="G8" i="3"/>
  <c r="G7" i="3"/>
  <c r="G6" i="3" l="1"/>
  <c r="G5" i="3"/>
  <c r="G4" i="3"/>
  <c r="F29" i="3"/>
  <c r="F28" i="3"/>
  <c r="E25" i="3"/>
  <c r="G3" i="3"/>
  <c r="G2" i="3"/>
  <c r="L4" i="3"/>
  <c r="L5" i="3"/>
  <c r="L6" i="3"/>
  <c r="L7" i="3"/>
  <c r="L8" i="3"/>
  <c r="L9" i="3"/>
  <c r="L10" i="3"/>
  <c r="L11" i="3"/>
  <c r="L14" i="3"/>
  <c r="L15" i="3"/>
  <c r="H28" i="3" l="1"/>
  <c r="G28" i="3"/>
  <c r="I28" i="3"/>
  <c r="F33" i="3"/>
  <c r="K28" i="3"/>
  <c r="K29" i="3"/>
  <c r="G29" i="3"/>
  <c r="I29" i="3"/>
  <c r="H29" i="3"/>
  <c r="G6" i="4"/>
</calcChain>
</file>

<file path=xl/sharedStrings.xml><?xml version="1.0" encoding="utf-8"?>
<sst xmlns="http://schemas.openxmlformats.org/spreadsheetml/2006/main" count="309" uniqueCount="259">
  <si>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</si>
  <si>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</si>
  <si>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</si>
  <si>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</si>
  <si>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</si>
  <si>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</si>
  <si>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</si>
  <si>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</si>
  <si>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</si>
  <si>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</si>
  <si>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</si>
  <si>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</si>
  <si>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</si>
  <si>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</si>
  <si>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</si>
  <si>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</si>
  <si>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</si>
  <si>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</si>
  <si>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</si>
  <si>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</si>
  <si>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</si>
  <si>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</si>
  <si>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</si>
  <si>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Extracts day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</si>
  <si>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</si>
  <si>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</si>
  <si>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</si>
  <si>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</si>
  <si>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</si>
  <si>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</si>
  <si>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</si>
  <si>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</si>
  <si>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</si>
  <si>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</si>
  <si>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</si>
  <si>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</si>
  <si>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</si>
  <si>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</si>
  <si>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</si>
  <si>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</si>
  <si>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</si>
  <si>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</si>
  <si>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</si>
  <si>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</si>
  <si>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</si>
  <si>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</si>
  <si>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</si>
  <si>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</si>
  <si>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</si>
  <si>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</si>
  <si>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</si>
  <si>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</si>
  <si>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</si>
  <si>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</si>
  <si>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</si>
  <si>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</si>
  <si>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</si>
  <si>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</si>
  <si>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</si>
  <si>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</si>
  <si>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</si>
  <si>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</si>
  <si>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</si>
  <si>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</si>
  <si>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</si>
  <si>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</si>
  <si>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</si>
  <si>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</si>
  <si>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</si>
  <si>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</si>
  <si>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</si>
  <si>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</si>
  <si>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</si>
  <si>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</si>
  <si>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</si>
  <si>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</si>
  <si>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</si>
  <si>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</si>
  <si>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</si>
  <si>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</si>
  <si>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</si>
  <si>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</si>
  <si>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</si>
  <si>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</si>
  <si>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</si>
  <si>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</si>
  <si>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</si>
  <si>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</si>
  <si>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</si>
  <si>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</si>
  <si>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</si>
  <si>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</si>
  <si>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</si>
  <si>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</si>
  <si>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</si>
  <si>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</si>
  <si>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</si>
  <si>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</si>
  <si>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</si>
  <si>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</si>
  <si>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</si>
  <si>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</si>
  <si>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</si>
  <si>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</si>
  <si>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</si>
  <si>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</si>
  <si>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</si>
  <si>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</si>
  <si>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</si>
  <si>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</si>
  <si>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</si>
  <si>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</si>
  <si>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</si>
  <si>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</si>
  <si>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</si>
  <si>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</si>
  <si>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</si>
  <si>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</si>
  <si>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</si>
  <si>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</si>
  <si>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</si>
  <si>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</si>
  <si>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</si>
  <si>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</si>
  <si>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</si>
  <si>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</si>
  <si>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</si>
  <si>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</si>
  <si>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</si>
  <si>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</si>
  <si>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</si>
  <si>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</si>
  <si>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</si>
  <si>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</si>
  <si>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</si>
  <si>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</si>
  <si>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</si>
  <si>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</si>
  <si>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</si>
  <si>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</si>
  <si>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</si>
  <si>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</si>
  <si>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</si>
  <si>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</si>
  <si>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</si>
  <si>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</si>
  <si>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</si>
  <si>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</si>
  <si>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</si>
  <si>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</si>
  <si>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</si>
  <si>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</si>
  <si>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</si>
  <si>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</si>
  <si>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</si>
  <si>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</si>
  <si>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</si>
  <si>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</si>
  <si>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</si>
  <si>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</si>
  <si>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</si>
  <si>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</si>
  <si>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</si>
  <si>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</si>
  <si>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</si>
  <si>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</si>
  <si>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</si>
  <si>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</si>
  <si>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</si>
  <si>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</si>
  <si>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</si>
  <si>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</si>
  <si>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</si>
  <si>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</si>
  <si>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</si>
  <si>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</si>
  <si>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</si>
  <si>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</si>
  <si>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</si>
  <si>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</si>
  <si>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</si>
  <si>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</si>
  <si>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</si>
  <si>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</si>
  <si>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</si>
  <si>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</si>
  <si>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</si>
  <si>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</si>
  <si>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</si>
  <si>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</si>
  <si>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</si>
  <si>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</si>
  <si>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</si>
  <si>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</si>
  <si>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</si>
  <si>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</si>
  <si>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</si>
  <si>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</si>
  <si>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</si>
  <si>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</si>
  <si>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</si>
  <si>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</si>
  <si>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Date Function</t>
  </si>
  <si>
    <t>Day</t>
  </si>
  <si>
    <t xml:space="preserve">Year </t>
  </si>
  <si>
    <t>Date</t>
  </si>
  <si>
    <t>Due Date</t>
  </si>
  <si>
    <t>Difference</t>
  </si>
  <si>
    <t>month</t>
  </si>
  <si>
    <t>Year</t>
  </si>
  <si>
    <t>Edate</t>
  </si>
  <si>
    <t>Eomonth</t>
  </si>
  <si>
    <t>us month ki last date</t>
  </si>
  <si>
    <t>Person DOB</t>
  </si>
  <si>
    <t>Age(Months)</t>
  </si>
  <si>
    <t>Age(Completed Years)</t>
  </si>
  <si>
    <t>Age( Days)</t>
  </si>
  <si>
    <t xml:space="preserve">Project End </t>
  </si>
  <si>
    <t xml:space="preserve">Project Start </t>
  </si>
  <si>
    <t xml:space="preserve">Working Days </t>
  </si>
  <si>
    <t>Holidays</t>
  </si>
  <si>
    <t>Workday</t>
  </si>
  <si>
    <t xml:space="preserve">Experience </t>
  </si>
  <si>
    <t>Retirement Age(After 35 years)</t>
  </si>
  <si>
    <t>Working Days</t>
  </si>
  <si>
    <t>Total Delivery Days</t>
  </si>
  <si>
    <t>last day of delivery month</t>
  </si>
  <si>
    <t>Weekday of Delivery</t>
  </si>
  <si>
    <t xml:space="preserve">Age </t>
  </si>
  <si>
    <t>Birth Month</t>
  </si>
  <si>
    <t xml:space="preserve">Birth Day </t>
  </si>
  <si>
    <t xml:space="preserve">Next Birthday year </t>
  </si>
  <si>
    <t>Birth Weekday</t>
  </si>
  <si>
    <t xml:space="preserve">Completion Date </t>
  </si>
  <si>
    <t xml:space="preserve">Completion month </t>
  </si>
  <si>
    <t xml:space="preserve">Completion year </t>
  </si>
  <si>
    <t>Last day of Completion month</t>
  </si>
  <si>
    <t>Maturity Date</t>
  </si>
  <si>
    <t>Maturity Year</t>
  </si>
  <si>
    <t>Maturity Month</t>
  </si>
  <si>
    <t>Last day of maturity month</t>
  </si>
  <si>
    <t xml:space="preserve">Due Day Name </t>
  </si>
  <si>
    <t>Due Month</t>
  </si>
  <si>
    <t>Last day of due month</t>
  </si>
  <si>
    <t>Weekday</t>
  </si>
  <si>
    <t xml:space="preserve">Month Name </t>
  </si>
  <si>
    <t xml:space="preserve">Week Number </t>
  </si>
  <si>
    <t xml:space="preserve">Days remaining until the event </t>
  </si>
  <si>
    <t>last day of the event month</t>
  </si>
  <si>
    <t>Current Age</t>
  </si>
  <si>
    <t>Years of Experience</t>
  </si>
  <si>
    <t>Joining Weekday</t>
  </si>
  <si>
    <t xml:space="preserve">Joining month name </t>
  </si>
  <si>
    <t>Project duration in days</t>
  </si>
  <si>
    <t>Project working days</t>
  </si>
  <si>
    <t>Project completion month</t>
  </si>
  <si>
    <t xml:space="preserve">3 Months to the joining date </t>
  </si>
  <si>
    <t>1 yeat the project lasted</t>
  </si>
  <si>
    <t>last day pf project completion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</si>
</sst>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5" fontId="0" fillId="0" borderId="0" xfId="0" applyNumberFormat="1"/>
    <xf numFmtId="0" fontId="1" fillId="0" borderId="1" xfId="0" applyFont="1" applyBorder="1"/>
    <xf numFmtId="164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NumberFormat="1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665BD0-D720-EF4E-BACF-6CF0FBBC7132}">
  <we:reference id="wa200010215" version="2.0.0.0" store="en-GB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41" zoomScaleNormal="141" workbookViewId="0">
      <selection activeCell="G6" sqref="G6"/>
    </sheetView>
  </sheetViews>
  <sheetFormatPr baseColWidth="10" defaultColWidth="8.83203125" defaultRowHeight="15" x14ac:dyDescent="0.2"/>
  <sheetData>
    <row r="1" spans="1:4" ht="16" x14ac:dyDescent="0.2">
      <c r="A1" s="3" t="s">
        <v>0</v>
      </c>
      <c r="B1" s="3" t="s">
        <v>1</v>
      </c>
      <c r="C1" s="3" t="s">
        <v>2</v>
      </c>
    </row>
    <row r="2" spans="1:4" ht="16" x14ac:dyDescent="0.2">
      <c r="A2" s="2" t="s">
        <v>3</v>
      </c>
      <c r="B2" s="2">
        <v>10000</v>
      </c>
      <c r="C2" s="2">
        <v>2500</v>
      </c>
    </row>
    <row r="3" spans="1:4" ht="16" x14ac:dyDescent="0.2">
      <c r="A3" s="2" t="s">
        <v>4</v>
      </c>
      <c r="B3" s="2">
        <v>12000</v>
      </c>
      <c r="C3" s="2">
        <v>3000</v>
      </c>
    </row>
    <row r="4" spans="1:4" ht="16" x14ac:dyDescent="0.2">
      <c r="A4" s="2" t="s">
        <v>5</v>
      </c>
      <c r="B4" s="2">
        <v>9000</v>
      </c>
      <c r="C4" s="2">
        <v>1800</v>
      </c>
    </row>
    <row r="5" spans="1:4" ht="16" x14ac:dyDescent="0.2">
      <c r="A5" s="2" t="s">
        <v>6</v>
      </c>
      <c r="B5" s="2">
        <v>15000</v>
      </c>
      <c r="C5" s="2">
        <v>4000</v>
      </c>
    </row>
    <row r="9" spans="1:4" ht="16" x14ac:dyDescent="0.2">
      <c r="A9" s="2" t="s">
        <v>7</v>
      </c>
      <c r="B9" s="2">
        <v>50</v>
      </c>
      <c r="C9" s="2">
        <v>60</v>
      </c>
      <c r="D9" s="2">
        <v>70</v>
      </c>
    </row>
    <row r="10" spans="1:4" ht="16" x14ac:dyDescent="0.2">
      <c r="A10" s="2" t="s">
        <v>8</v>
      </c>
      <c r="B10" s="2">
        <v>40</v>
      </c>
      <c r="C10" s="2">
        <v>55</v>
      </c>
      <c r="D10" s="2">
        <v>65</v>
      </c>
    </row>
    <row r="11" spans="1:4" ht="16" x14ac:dyDescent="0.2">
      <c r="A11" s="2" t="s">
        <v>9</v>
      </c>
      <c r="B11" s="2">
        <v>80</v>
      </c>
      <c r="C11" s="2">
        <v>75</v>
      </c>
      <c r="D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L46"/>
  <sheetViews>
    <sheetView topLeftCell="E1" zoomScaleNormal="130" workbookViewId="0">
      <selection activeCell="K10" sqref="K10"/>
    </sheetView>
  </sheetViews>
  <sheetFormatPr baseColWidth="10" defaultColWidth="8.83203125" defaultRowHeight="15" x14ac:dyDescent="0.2"/>
  <cols>
    <col min="1" max="1" width="6.5" bestFit="1" customWidth="1"/>
    <col min="2" max="2" width="9.33203125" customWidth="1"/>
    <col min="3" max="3" width="11.83203125" customWidth="1"/>
    <col min="4" max="4" width="10.1640625" customWidth="1"/>
    <col min="5" max="5" width="19.5" customWidth="1"/>
    <col min="6" max="6" width="21.6640625" customWidth="1"/>
    <col min="7" max="7" width="18" customWidth="1"/>
    <col min="8" max="8" width="22" bestFit="1" customWidth="1"/>
    <col min="9" max="9" width="18.6640625" customWidth="1"/>
    <col min="10" max="10" width="22" bestFit="1" customWidth="1"/>
    <col min="11" max="11" width="21" bestFit="1" customWidth="1"/>
    <col min="12" max="12" width="14.33203125" bestFit="1" customWidth="1"/>
  </cols>
  <sheetData>
    <row r="1" spans="1:12" ht="32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J1" s="31" t="s">
        <v>66</v>
      </c>
      <c r="K1" s="31"/>
      <c r="L1" s="31"/>
    </row>
    <row r="2" spans="1:12" ht="16" x14ac:dyDescent="0.2">
      <c r="A2" s="2">
        <v>101</v>
      </c>
      <c r="B2" s="2" t="s">
        <v>18</v>
      </c>
      <c r="C2" s="17">
        <v>45306</v>
      </c>
      <c r="D2" s="7">
        <v>46225</v>
      </c>
      <c r="E2" s="7">
        <v>35925</v>
      </c>
      <c r="F2" s="2" t="s">
        <v>19</v>
      </c>
      <c r="G2" s="8">
        <f ca="1">TODAY()</f>
        <v>46297</v>
      </c>
      <c r="H2" s="7">
        <v>46227</v>
      </c>
    </row>
    <row r="3" spans="1:12" ht="32" x14ac:dyDescent="0.2">
      <c r="A3" s="2">
        <v>102</v>
      </c>
      <c r="B3" s="2" t="s">
        <v>20</v>
      </c>
      <c r="C3" s="7">
        <v>44985</v>
      </c>
      <c r="D3" s="7">
        <v>46233</v>
      </c>
      <c r="E3" s="7">
        <v>36482</v>
      </c>
      <c r="F3" s="2" t="s">
        <v>21</v>
      </c>
      <c r="G3" s="9">
        <f ca="1">NOW()</f>
        <v>46297.7256494213</v>
      </c>
      <c r="H3" s="10">
        <v>46227.947916666664</v>
      </c>
      <c r="J3" s="3" t="s">
        <v>67</v>
      </c>
      <c r="K3" s="3" t="s">
        <v>68</v>
      </c>
      <c r="L3" s="3" t="s">
        <v>69</v>
      </c>
    </row>
    <row r="4" spans="1:12" ht="32" x14ac:dyDescent="0.2">
      <c r="A4" s="2">
        <v>103</v>
      </c>
      <c r="B4" s="2" t="s">
        <v>22</v>
      </c>
      <c r="C4" s="7">
        <v>45721</v>
      </c>
      <c r="D4" s="7">
        <v>46244</v>
      </c>
      <c r="E4" s="7">
        <v>35789</v>
      </c>
      <c r="F4" s="2" t="s">
        <v>23</v>
      </c>
      <c r="G4" s="11">
        <f ca="1">DAY(TODAY())</f>
        <v>2</v>
      </c>
      <c r="H4" s="2">
        <v>15</v>
      </c>
      <c r="J4" s="23" t="s">
        <v>70</v>
      </c>
      <c r="K4" s="2" t="s">
        <v>71</v>
      </c>
      <c r="L4" s="8">
        <f ca="1">TODAY()</f>
        <v>46297</v>
      </c>
    </row>
    <row r="5" spans="1:12" ht="32" x14ac:dyDescent="0.2">
      <c r="A5" s="2">
        <v>104</v>
      </c>
      <c r="B5" s="2" t="s">
        <v>24</v>
      </c>
      <c r="C5" s="7">
        <v>44668</v>
      </c>
      <c r="D5" s="7">
        <v>46270</v>
      </c>
      <c r="E5" s="7">
        <v>35103</v>
      </c>
      <c r="F5" s="2" t="s">
        <v>25</v>
      </c>
      <c r="G5" s="11">
        <f ca="1">MONTH(TODAY())</f>
        <v>10</v>
      </c>
      <c r="H5" s="2">
        <v>1</v>
      </c>
      <c r="J5" s="23" t="s">
        <v>72</v>
      </c>
      <c r="K5" s="2" t="s">
        <v>73</v>
      </c>
      <c r="L5" s="9">
        <f ca="1">NOW()</f>
        <v>46297.7256494213</v>
      </c>
    </row>
    <row r="6" spans="1:12" ht="17" x14ac:dyDescent="0.2">
      <c r="A6" s="2">
        <v>105</v>
      </c>
      <c r="B6" s="2" t="s">
        <v>26</v>
      </c>
      <c r="C6" s="7">
        <v>44376</v>
      </c>
      <c r="D6" s="7">
        <v>46310</v>
      </c>
      <c r="E6" s="7">
        <v>34925</v>
      </c>
      <c r="F6" s="2" t="s">
        <v>27</v>
      </c>
      <c r="G6" s="11">
        <f ca="1">YEAR(TODAY())</f>
        <v>2026</v>
      </c>
      <c r="H6" s="2">
        <v>2024</v>
      </c>
      <c r="J6" s="23" t="s">
        <v>74</v>
      </c>
      <c r="K6" s="2" t="s">
        <v>75</v>
      </c>
      <c r="L6" s="8">
        <f>DATE(2026,12,25)</f>
        <v>46381</v>
      </c>
    </row>
    <row r="7" spans="1:12" ht="17" x14ac:dyDescent="0.2">
      <c r="A7" s="2">
        <v>106</v>
      </c>
      <c r="B7" s="2" t="s">
        <v>28</v>
      </c>
      <c r="C7" s="7">
        <v>44022</v>
      </c>
      <c r="D7" s="7">
        <v>46327</v>
      </c>
      <c r="E7" s="7">
        <v>35876</v>
      </c>
      <c r="F7" s="2" t="s">
        <v>29</v>
      </c>
      <c r="G7" s="11">
        <f ca="1">WEEKDAY(TODAY())</f>
        <v>6</v>
      </c>
      <c r="H7" s="2">
        <v>2</v>
      </c>
      <c r="J7" s="23" t="s">
        <v>76</v>
      </c>
      <c r="K7" s="2" t="s">
        <v>77</v>
      </c>
      <c r="L7" s="11">
        <f>DAY(C2)</f>
        <v>15</v>
      </c>
    </row>
    <row r="8" spans="1:12" ht="32" x14ac:dyDescent="0.2">
      <c r="A8" s="2">
        <v>107</v>
      </c>
      <c r="B8" s="2" t="s">
        <v>30</v>
      </c>
      <c r="C8" s="7">
        <v>45150</v>
      </c>
      <c r="D8" s="7">
        <v>46376</v>
      </c>
      <c r="E8" s="7">
        <v>34335</v>
      </c>
      <c r="F8" s="2" t="s">
        <v>31</v>
      </c>
      <c r="G8" s="11">
        <f ca="1">WEEKNUM(TODAY())</f>
        <v>40</v>
      </c>
      <c r="H8" s="2">
        <v>3</v>
      </c>
      <c r="J8" s="23" t="s">
        <v>78</v>
      </c>
      <c r="K8" s="2" t="s">
        <v>79</v>
      </c>
      <c r="L8" s="11">
        <f>MONTH(C2)</f>
        <v>1</v>
      </c>
    </row>
    <row r="9" spans="1:12" ht="17" x14ac:dyDescent="0.2">
      <c r="A9" s="2">
        <v>108</v>
      </c>
      <c r="B9" s="2" t="s">
        <v>32</v>
      </c>
      <c r="C9" s="7">
        <v>44825</v>
      </c>
      <c r="D9" s="7">
        <v>46402</v>
      </c>
      <c r="E9" s="7">
        <v>34272</v>
      </c>
      <c r="F9" s="2" t="s">
        <v>33</v>
      </c>
      <c r="G9" s="11" t="str">
        <f ca="1">TEXT(TODAY(),"mmmm")</f>
        <v>October</v>
      </c>
      <c r="H9" s="2" t="s">
        <v>34</v>
      </c>
      <c r="J9" s="23" t="s">
        <v>80</v>
      </c>
      <c r="K9" s="2" t="s">
        <v>81</v>
      </c>
      <c r="L9" s="11">
        <f>YEAR(C2)</f>
        <v>2024</v>
      </c>
    </row>
    <row r="10" spans="1:12" ht="32" x14ac:dyDescent="0.2">
      <c r="A10" s="2">
        <v>109</v>
      </c>
      <c r="B10" s="2" t="s">
        <v>35</v>
      </c>
      <c r="C10" s="7">
        <v>45567</v>
      </c>
      <c r="D10" s="7">
        <v>46443</v>
      </c>
      <c r="E10" s="7">
        <v>35597</v>
      </c>
      <c r="F10" s="2" t="s">
        <v>36</v>
      </c>
      <c r="G10" s="11" t="str">
        <f ca="1">TEXT(TODAY(),"dddd")</f>
        <v>Friday</v>
      </c>
      <c r="H10" s="2" t="s">
        <v>37</v>
      </c>
      <c r="J10" s="23" t="s">
        <v>82</v>
      </c>
      <c r="K10" s="2" t="s">
        <v>83</v>
      </c>
      <c r="L10" s="11">
        <f>WEEKDAY(C2)</f>
        <v>2</v>
      </c>
    </row>
    <row r="11" spans="1:12" ht="32" x14ac:dyDescent="0.2">
      <c r="A11" s="2">
        <v>110</v>
      </c>
      <c r="B11" s="2" t="s">
        <v>38</v>
      </c>
      <c r="C11" s="7">
        <v>45248</v>
      </c>
      <c r="D11" s="7">
        <v>46489</v>
      </c>
      <c r="E11" s="7">
        <v>36262</v>
      </c>
      <c r="F11" s="2" t="s">
        <v>39</v>
      </c>
      <c r="G11" s="8"/>
      <c r="H11" s="7">
        <v>46381</v>
      </c>
      <c r="J11" s="23" t="s">
        <v>84</v>
      </c>
      <c r="K11" s="2" t="s">
        <v>85</v>
      </c>
      <c r="L11" s="11">
        <f>WEEKNUM(C2)</f>
        <v>3</v>
      </c>
    </row>
    <row r="12" spans="1:12" ht="32" x14ac:dyDescent="0.2">
      <c r="A12" s="2">
        <v>111</v>
      </c>
      <c r="B12" s="2" t="s">
        <v>40</v>
      </c>
      <c r="C12" s="7">
        <v>44920</v>
      </c>
      <c r="D12" s="7">
        <v>46537</v>
      </c>
      <c r="E12" s="7">
        <v>36047</v>
      </c>
      <c r="F12" s="2" t="s">
        <v>41</v>
      </c>
      <c r="G12" s="11"/>
      <c r="H12" s="7">
        <v>45322</v>
      </c>
      <c r="J12" s="23" t="s">
        <v>86</v>
      </c>
      <c r="K12" s="2" t="s">
        <v>87</v>
      </c>
      <c r="L12" s="2" t="s">
        <v>37</v>
      </c>
    </row>
    <row r="13" spans="1:12" ht="32" x14ac:dyDescent="0.2">
      <c r="A13" s="2">
        <v>112</v>
      </c>
      <c r="B13" s="2" t="s">
        <v>42</v>
      </c>
      <c r="C13" s="7">
        <v>45662</v>
      </c>
      <c r="D13" s="7">
        <v>46553</v>
      </c>
      <c r="E13" s="7">
        <v>35273</v>
      </c>
      <c r="F13" s="2" t="s">
        <v>43</v>
      </c>
      <c r="G13" s="11"/>
      <c r="H13" s="7">
        <v>45382</v>
      </c>
      <c r="J13" s="23" t="s">
        <v>88</v>
      </c>
      <c r="K13" s="2" t="s">
        <v>89</v>
      </c>
      <c r="L13" s="2" t="s">
        <v>34</v>
      </c>
    </row>
    <row r="14" spans="1:12" ht="32" x14ac:dyDescent="0.2">
      <c r="A14" s="2">
        <v>113</v>
      </c>
      <c r="B14" s="2" t="s">
        <v>44</v>
      </c>
      <c r="C14" s="7">
        <v>45338</v>
      </c>
      <c r="D14" s="7">
        <v>46596</v>
      </c>
      <c r="E14" s="7">
        <v>34710</v>
      </c>
      <c r="F14" s="2" t="s">
        <v>45</v>
      </c>
      <c r="G14" s="11"/>
      <c r="H14" s="2" t="s">
        <v>46</v>
      </c>
      <c r="J14" s="23" t="s">
        <v>90</v>
      </c>
      <c r="K14" s="2" t="s">
        <v>91</v>
      </c>
      <c r="L14" s="11">
        <f>EDATE(C2,6)</f>
        <v>45488</v>
      </c>
    </row>
    <row r="15" spans="1:12" ht="48" x14ac:dyDescent="0.2">
      <c r="A15" s="2">
        <v>114</v>
      </c>
      <c r="B15" s="2" t="s">
        <v>47</v>
      </c>
      <c r="C15" s="7">
        <v>44327</v>
      </c>
      <c r="D15" s="7">
        <v>46608</v>
      </c>
      <c r="E15" s="7">
        <v>33881</v>
      </c>
      <c r="F15" s="2" t="s">
        <v>48</v>
      </c>
      <c r="G15" s="11">
        <f>NETWORKDAYS(C15,D15,5)</f>
        <v>1630</v>
      </c>
      <c r="H15" s="2" t="s">
        <v>49</v>
      </c>
      <c r="J15" s="23" t="s">
        <v>92</v>
      </c>
      <c r="K15" s="2" t="s">
        <v>93</v>
      </c>
      <c r="L15" s="11">
        <f>EOMONTH(C2,2)</f>
        <v>45382</v>
      </c>
    </row>
    <row r="16" spans="1:12" ht="32" x14ac:dyDescent="0.2">
      <c r="A16" s="2">
        <v>115</v>
      </c>
      <c r="B16" s="2" t="s">
        <v>50</v>
      </c>
      <c r="C16" s="7">
        <v>45116</v>
      </c>
      <c r="D16" s="7">
        <v>46645</v>
      </c>
      <c r="E16" s="7">
        <v>35932</v>
      </c>
      <c r="F16" s="2" t="s">
        <v>51</v>
      </c>
      <c r="G16" s="11"/>
      <c r="H16" s="2" t="s">
        <v>52</v>
      </c>
      <c r="J16" s="23" t="s">
        <v>94</v>
      </c>
      <c r="K16" s="2" t="s">
        <v>95</v>
      </c>
      <c r="L16" s="2" t="s">
        <v>96</v>
      </c>
    </row>
    <row r="17" spans="1:12" ht="48" x14ac:dyDescent="0.2">
      <c r="A17" s="2">
        <v>116</v>
      </c>
      <c r="B17" s="2" t="s">
        <v>53</v>
      </c>
      <c r="C17" s="7">
        <v>44787</v>
      </c>
      <c r="D17" s="7">
        <v>46680</v>
      </c>
      <c r="E17" s="7">
        <v>34019</v>
      </c>
      <c r="F17" s="2" t="s">
        <v>54</v>
      </c>
      <c r="G17" s="11"/>
      <c r="H17" s="7">
        <v>45488</v>
      </c>
      <c r="J17" s="23" t="s">
        <v>97</v>
      </c>
      <c r="K17" s="2" t="s">
        <v>98</v>
      </c>
      <c r="L17" s="2" t="s">
        <v>99</v>
      </c>
    </row>
    <row r="18" spans="1:12" ht="32" x14ac:dyDescent="0.2">
      <c r="A18" s="2">
        <v>117</v>
      </c>
      <c r="B18" s="2" t="s">
        <v>55</v>
      </c>
      <c r="C18" s="7">
        <v>45536</v>
      </c>
      <c r="D18" s="7">
        <v>46696</v>
      </c>
      <c r="E18" s="7">
        <v>35548</v>
      </c>
      <c r="F18" s="2" t="s">
        <v>56</v>
      </c>
      <c r="G18" s="11"/>
      <c r="H18" s="2" t="s">
        <v>57</v>
      </c>
      <c r="J18" s="23" t="s">
        <v>100</v>
      </c>
      <c r="K18" s="2" t="s">
        <v>101</v>
      </c>
      <c r="L18" s="2" t="s">
        <v>102</v>
      </c>
    </row>
    <row r="19" spans="1:12" ht="34" x14ac:dyDescent="0.2">
      <c r="A19" s="2">
        <v>118</v>
      </c>
      <c r="B19" s="2" t="s">
        <v>58</v>
      </c>
      <c r="C19" s="7">
        <v>44114</v>
      </c>
      <c r="D19" s="7">
        <v>46736</v>
      </c>
      <c r="E19" s="7">
        <v>35048</v>
      </c>
      <c r="F19" s="2" t="s">
        <v>59</v>
      </c>
      <c r="G19" s="11"/>
      <c r="H19" s="2" t="s">
        <v>60</v>
      </c>
      <c r="J19" s="23" t="s">
        <v>103</v>
      </c>
      <c r="K19" s="2" t="s">
        <v>104</v>
      </c>
      <c r="L19" s="2" t="s">
        <v>105</v>
      </c>
    </row>
    <row r="20" spans="1:12" ht="48" x14ac:dyDescent="0.2">
      <c r="A20" s="2">
        <v>119</v>
      </c>
      <c r="B20" s="2" t="s">
        <v>61</v>
      </c>
      <c r="C20" s="7">
        <v>45242</v>
      </c>
      <c r="D20" s="7">
        <v>46770</v>
      </c>
      <c r="E20" s="7">
        <v>36316</v>
      </c>
      <c r="F20" s="2" t="s">
        <v>62</v>
      </c>
      <c r="G20" s="11"/>
      <c r="H20" s="2" t="s">
        <v>62</v>
      </c>
      <c r="J20" s="23" t="s">
        <v>106</v>
      </c>
      <c r="K20" s="2" t="s">
        <v>107</v>
      </c>
      <c r="L20" s="2" t="s">
        <v>108</v>
      </c>
    </row>
    <row r="21" spans="1:12" ht="32" x14ac:dyDescent="0.2">
      <c r="A21" s="2">
        <v>120</v>
      </c>
      <c r="B21" s="2" t="s">
        <v>63</v>
      </c>
      <c r="C21" s="7">
        <v>44560</v>
      </c>
      <c r="D21" s="7">
        <v>46811</v>
      </c>
      <c r="E21" s="7">
        <v>35298</v>
      </c>
      <c r="F21" s="2" t="s">
        <v>64</v>
      </c>
      <c r="G21" s="11"/>
      <c r="H21" s="2" t="s">
        <v>65</v>
      </c>
      <c r="J21" s="23" t="s">
        <v>109</v>
      </c>
      <c r="K21" s="2" t="s">
        <v>110</v>
      </c>
      <c r="L21" s="2" t="s">
        <v>111</v>
      </c>
    </row>
    <row r="24" spans="1:12" x14ac:dyDescent="0.2">
      <c r="E24" s="22" t="s">
        <v>202</v>
      </c>
    </row>
    <row r="25" spans="1:12" x14ac:dyDescent="0.2">
      <c r="E25" s="21">
        <f>DATE(2025,10,6)</f>
        <v>45936</v>
      </c>
    </row>
    <row r="26" spans="1:12" x14ac:dyDescent="0.2">
      <c r="I26">
        <v>30</v>
      </c>
    </row>
    <row r="27" spans="1:12" x14ac:dyDescent="0.2">
      <c r="C27" s="24" t="s">
        <v>203</v>
      </c>
      <c r="D27" s="24" t="s">
        <v>0</v>
      </c>
      <c r="E27" s="24" t="s">
        <v>204</v>
      </c>
      <c r="F27" s="24" t="s">
        <v>205</v>
      </c>
      <c r="G27" s="20" t="s">
        <v>206</v>
      </c>
      <c r="H27" s="20" t="s">
        <v>207</v>
      </c>
      <c r="I27" s="20" t="s">
        <v>203</v>
      </c>
      <c r="J27" s="20" t="s">
        <v>208</v>
      </c>
      <c r="K27" s="20" t="s">
        <v>209</v>
      </c>
    </row>
    <row r="28" spans="1:12" x14ac:dyDescent="0.2">
      <c r="C28" s="24">
        <v>15</v>
      </c>
      <c r="D28" s="24">
        <v>10</v>
      </c>
      <c r="E28" s="24">
        <v>2024</v>
      </c>
      <c r="F28" s="25">
        <f>DATE(E28,D28,C28)</f>
        <v>45580</v>
      </c>
      <c r="G28" s="21">
        <f>F28+$I$26</f>
        <v>45610</v>
      </c>
      <c r="H28" s="20">
        <f ca="1">(TODAY()-F28)/365</f>
        <v>1.9643835616438357</v>
      </c>
      <c r="I28" s="20" t="str">
        <f>TEXT(F28,"dddd")</f>
        <v>Tuesday</v>
      </c>
      <c r="J28" t="str">
        <f>TEXT(D28,"mm")</f>
        <v>01</v>
      </c>
      <c r="K28" t="str">
        <f>TEXT(F28,"yy")</f>
        <v>24</v>
      </c>
    </row>
    <row r="29" spans="1:12" x14ac:dyDescent="0.2">
      <c r="C29" s="24">
        <v>6</v>
      </c>
      <c r="D29" s="24">
        <v>10</v>
      </c>
      <c r="E29" s="24">
        <v>2023</v>
      </c>
      <c r="F29" s="25">
        <f>DATE(E29,D29,C29)</f>
        <v>45205</v>
      </c>
      <c r="G29" s="21">
        <f>F29+I26</f>
        <v>45235</v>
      </c>
      <c r="H29" s="20">
        <f ca="1">(TODAY()-F29)/365</f>
        <v>2.9917808219178084</v>
      </c>
      <c r="I29" s="20" t="str">
        <f>TEXT(F29,"dddd")</f>
        <v>Friday</v>
      </c>
      <c r="J29" t="str">
        <f>TEXT(D29,"mm")</f>
        <v>01</v>
      </c>
      <c r="K29" t="str">
        <f>TEXT(F29,"yy")</f>
        <v>23</v>
      </c>
    </row>
    <row r="30" spans="1:12" x14ac:dyDescent="0.2">
      <c r="H30" s="18"/>
    </row>
    <row r="32" spans="1:12" x14ac:dyDescent="0.2">
      <c r="F32" t="s">
        <v>210</v>
      </c>
      <c r="G32" t="s">
        <v>211</v>
      </c>
      <c r="H32" t="s">
        <v>221</v>
      </c>
    </row>
    <row r="33" spans="2:8" x14ac:dyDescent="0.2">
      <c r="F33" s="19">
        <f>EDATE(F28,240)</f>
        <v>52885</v>
      </c>
      <c r="G33" s="18">
        <f>EOMONTH(C29,10)</f>
        <v>335</v>
      </c>
      <c r="H33" s="18">
        <f ca="1">WORKDAY(TODAY(),7)</f>
        <v>46308</v>
      </c>
    </row>
    <row r="34" spans="2:8" x14ac:dyDescent="0.2">
      <c r="G34" t="s">
        <v>212</v>
      </c>
    </row>
    <row r="38" spans="2:8" x14ac:dyDescent="0.2">
      <c r="B38" s="26" t="s">
        <v>213</v>
      </c>
      <c r="C38" s="26" t="s">
        <v>215</v>
      </c>
      <c r="D38" s="26" t="s">
        <v>214</v>
      </c>
      <c r="E38" s="26" t="s">
        <v>216</v>
      </c>
    </row>
    <row r="39" spans="2:8" x14ac:dyDescent="0.2">
      <c r="B39" s="27">
        <v>33615</v>
      </c>
      <c r="C39" s="26">
        <f ca="1">DATEDIF(B39,TODAY(),"y")</f>
        <v>34</v>
      </c>
      <c r="D39" s="26">
        <f ca="1">DATEDIF(B39,TODAY(),"YM")</f>
        <v>8</v>
      </c>
      <c r="E39" s="26">
        <f ca="1">DATEDIF(B39,TODAY(),"YD")</f>
        <v>264</v>
      </c>
    </row>
    <row r="40" spans="2:8" x14ac:dyDescent="0.2">
      <c r="B40" s="27">
        <v>37063</v>
      </c>
      <c r="C40" s="26">
        <f ca="1">DATEDIF(B40,TODAY(),"y")</f>
        <v>25</v>
      </c>
      <c r="D40" s="26">
        <f ca="1">DATEDIF(B40,TODAY(),"YM")</f>
        <v>3</v>
      </c>
      <c r="E40" s="26">
        <f ca="1">DATEDIF(B40,TODAY(),"YD")</f>
        <v>103</v>
      </c>
    </row>
    <row r="43" spans="2:8" x14ac:dyDescent="0.2">
      <c r="B43" s="26" t="s">
        <v>218</v>
      </c>
      <c r="C43" s="26" t="s">
        <v>217</v>
      </c>
      <c r="D43" s="26" t="s">
        <v>219</v>
      </c>
      <c r="E43" s="26" t="s">
        <v>219</v>
      </c>
      <c r="F43" t="s">
        <v>220</v>
      </c>
    </row>
    <row r="44" spans="2:8" x14ac:dyDescent="0.2">
      <c r="B44" s="27">
        <v>46164</v>
      </c>
      <c r="C44" s="27">
        <v>46341</v>
      </c>
      <c r="D44" s="26">
        <f>NETWORKDAYS(B44,C44,F44:F46)</f>
        <v>123</v>
      </c>
      <c r="E44" s="26">
        <f>NETWORKDAYS.INTL(B44,C44,11,F44:F46)</f>
        <v>149</v>
      </c>
      <c r="F44" s="18">
        <v>46185</v>
      </c>
    </row>
    <row r="45" spans="2:8" x14ac:dyDescent="0.2">
      <c r="F45" s="18">
        <v>46279</v>
      </c>
    </row>
    <row r="46" spans="2:8" x14ac:dyDescent="0.2">
      <c r="F46" s="18">
        <v>46297</v>
      </c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H38"/>
  <sheetViews>
    <sheetView zoomScale="144" workbookViewId="0">
      <selection activeCell="F6" sqref="F6"/>
    </sheetView>
  </sheetViews>
  <sheetFormatPr baseColWidth="10" defaultColWidth="8.83203125" defaultRowHeight="15" x14ac:dyDescent="0.2"/>
  <cols>
    <col min="2" max="2" width="10.1640625" bestFit="1" customWidth="1"/>
    <col min="3" max="3" width="9.5" bestFit="1" customWidth="1"/>
    <col min="4" max="4" width="9.6640625" bestFit="1" customWidth="1"/>
    <col min="6" max="6" width="11.1640625" customWidth="1"/>
    <col min="7" max="7" width="11.5" customWidth="1"/>
    <col min="10" max="10" width="17.1640625" customWidth="1"/>
    <col min="11" max="11" width="14.5" bestFit="1" customWidth="1"/>
  </cols>
  <sheetData>
    <row r="1" spans="1:8" ht="31" x14ac:dyDescent="0.2">
      <c r="A1" s="13" t="s">
        <v>112</v>
      </c>
    </row>
    <row r="3" spans="1:8" ht="24" x14ac:dyDescent="0.2">
      <c r="A3" s="12" t="s">
        <v>113</v>
      </c>
    </row>
    <row r="4" spans="1:8" ht="24" customHeight="1" x14ac:dyDescent="0.2"/>
    <row r="5" spans="1:8" ht="30" customHeight="1" x14ac:dyDescent="0.2">
      <c r="A5" s="3" t="s">
        <v>10</v>
      </c>
      <c r="B5" s="3" t="s">
        <v>11</v>
      </c>
      <c r="C5" s="3" t="s">
        <v>12</v>
      </c>
      <c r="D5" s="3" t="s">
        <v>14</v>
      </c>
      <c r="E5" s="3" t="s">
        <v>57</v>
      </c>
      <c r="F5" s="3" t="s">
        <v>222</v>
      </c>
      <c r="G5" s="3" t="s">
        <v>223</v>
      </c>
      <c r="H5" s="16"/>
    </row>
    <row r="6" spans="1:8" ht="16" x14ac:dyDescent="0.2">
      <c r="A6" s="2">
        <v>101</v>
      </c>
      <c r="B6" s="2" t="s">
        <v>18</v>
      </c>
      <c r="C6" s="7">
        <v>44211</v>
      </c>
      <c r="D6" s="7">
        <v>35925</v>
      </c>
      <c r="E6" s="26">
        <f ca="1">DATEDIF('Exercise-1'!D6,TODAY(),"y")</f>
        <v>28</v>
      </c>
      <c r="F6" s="26">
        <f ca="1">DATEDIF(C6,TODAY(),"y")</f>
        <v>5</v>
      </c>
      <c r="G6" s="27">
        <f ca="1">'Exercise-3'!D6=TEXT(G6,"mmmm")</f>
        <v>0</v>
      </c>
    </row>
    <row r="7" spans="1:8" ht="16" x14ac:dyDescent="0.2">
      <c r="A7" s="2">
        <v>102</v>
      </c>
      <c r="B7" s="2" t="s">
        <v>20</v>
      </c>
      <c r="C7" s="7">
        <v>43889</v>
      </c>
      <c r="D7" s="7">
        <v>36482</v>
      </c>
      <c r="E7" s="26">
        <f ca="1">DATEDIF('Exercise-1'!D7,TODAY(),"y")</f>
        <v>26</v>
      </c>
      <c r="F7" s="26">
        <f t="shared" ref="F7:F10" ca="1" si="0">DATEDIF(C7,TODAY(),"y")</f>
        <v>6</v>
      </c>
      <c r="G7" s="27" t="e">
        <f t="shared" ref="G7:G10" si="1">EDATE(A3, 35*12)</f>
        <v>#VALUE!</v>
      </c>
    </row>
    <row r="8" spans="1:8" ht="16" x14ac:dyDescent="0.2">
      <c r="A8" s="2">
        <v>103</v>
      </c>
      <c r="B8" s="2" t="s">
        <v>22</v>
      </c>
      <c r="C8" s="7">
        <v>43529</v>
      </c>
      <c r="D8" s="7">
        <v>35789</v>
      </c>
      <c r="E8" s="26">
        <f ca="1">DATEDIF('Exercise-1'!D8,TODAY(),"y")</f>
        <v>28</v>
      </c>
      <c r="F8" s="26">
        <f t="shared" ca="1" si="0"/>
        <v>7</v>
      </c>
      <c r="G8" s="27">
        <f t="shared" si="1"/>
        <v>12784</v>
      </c>
    </row>
    <row r="9" spans="1:8" ht="16" x14ac:dyDescent="0.2">
      <c r="A9" s="2">
        <v>104</v>
      </c>
      <c r="B9" s="2" t="s">
        <v>24</v>
      </c>
      <c r="C9" s="7">
        <v>44668</v>
      </c>
      <c r="D9" s="7">
        <v>35103</v>
      </c>
      <c r="E9" s="26">
        <f ca="1">DATEDIF('Exercise-1'!D9,TODAY(),"y")</f>
        <v>30</v>
      </c>
      <c r="F9" s="26">
        <f t="shared" ca="1" si="0"/>
        <v>4</v>
      </c>
      <c r="G9" s="27" t="e">
        <f t="shared" si="1"/>
        <v>#VALUE!</v>
      </c>
    </row>
    <row r="10" spans="1:8" ht="16" x14ac:dyDescent="0.2">
      <c r="A10" s="2">
        <v>105</v>
      </c>
      <c r="B10" s="2" t="s">
        <v>26</v>
      </c>
      <c r="C10" s="7">
        <v>43280</v>
      </c>
      <c r="D10" s="7">
        <v>34925</v>
      </c>
      <c r="E10" s="26">
        <f ca="1">DATEDIF('Exercise-1'!D10,TODAY(),"y")</f>
        <v>31</v>
      </c>
      <c r="F10" s="26">
        <f t="shared" ca="1" si="0"/>
        <v>8</v>
      </c>
      <c r="G10" s="27">
        <f t="shared" si="1"/>
        <v>12884</v>
      </c>
    </row>
    <row r="12" spans="1:8" ht="19" x14ac:dyDescent="0.2">
      <c r="A12" s="14" t="s">
        <v>114</v>
      </c>
    </row>
    <row r="13" spans="1:8" x14ac:dyDescent="0.2">
      <c r="A13" s="15"/>
    </row>
    <row r="14" spans="1:8" x14ac:dyDescent="0.2">
      <c r="A14" s="15" t="s">
        <v>115</v>
      </c>
      <c r="C14" s="18"/>
      <c r="E14" s="18">
        <f ca="1">TODAY()</f>
        <v>46297</v>
      </c>
    </row>
    <row r="15" spans="1:8" x14ac:dyDescent="0.2">
      <c r="A15" s="15" t="s">
        <v>116</v>
      </c>
      <c r="D15" s="28"/>
    </row>
    <row r="16" spans="1:8" x14ac:dyDescent="0.2">
      <c r="A16" s="15" t="s">
        <v>117</v>
      </c>
    </row>
    <row r="17" spans="1:2" x14ac:dyDescent="0.2">
      <c r="A17" s="15" t="s">
        <v>118</v>
      </c>
    </row>
    <row r="18" spans="1:2" x14ac:dyDescent="0.2">
      <c r="A18" s="15" t="s">
        <v>119</v>
      </c>
    </row>
    <row r="19" spans="1:2" x14ac:dyDescent="0.2">
      <c r="A19" s="15" t="s">
        <v>120</v>
      </c>
    </row>
    <row r="20" spans="1:2" x14ac:dyDescent="0.2">
      <c r="A20" s="15" t="s">
        <v>121</v>
      </c>
    </row>
    <row r="22" spans="1:2" x14ac:dyDescent="0.2">
      <c r="A22" s="16"/>
    </row>
    <row r="23" spans="1:2" x14ac:dyDescent="0.2">
      <c r="A23" s="15"/>
    </row>
    <row r="24" spans="1:2" x14ac:dyDescent="0.2">
      <c r="A24" s="15"/>
    </row>
    <row r="25" spans="1:2" x14ac:dyDescent="0.2">
      <c r="A25" s="15"/>
    </row>
    <row r="26" spans="1:2" x14ac:dyDescent="0.2">
      <c r="A26" s="15"/>
    </row>
    <row r="27" spans="1:2" x14ac:dyDescent="0.2">
      <c r="A27" s="15"/>
    </row>
    <row r="28" spans="1:2" x14ac:dyDescent="0.2">
      <c r="A28" s="15"/>
    </row>
    <row r="31" spans="1:2" x14ac:dyDescent="0.2">
      <c r="A31" s="4"/>
      <c r="B31" s="4"/>
    </row>
    <row r="32" spans="1:2" ht="16" x14ac:dyDescent="0.2">
      <c r="A32" s="1"/>
      <c r="B32" s="5"/>
    </row>
    <row r="33" spans="1:2" ht="16" x14ac:dyDescent="0.2">
      <c r="A33" s="1"/>
      <c r="B33" s="6"/>
    </row>
    <row r="34" spans="1:2" ht="16" x14ac:dyDescent="0.2">
      <c r="A34" s="1"/>
      <c r="B34" s="6"/>
    </row>
    <row r="35" spans="1:2" ht="16" x14ac:dyDescent="0.2">
      <c r="A35" s="1"/>
      <c r="B35" s="6"/>
    </row>
    <row r="36" spans="1:2" ht="16" x14ac:dyDescent="0.2">
      <c r="A36" s="1"/>
      <c r="B36" s="6"/>
    </row>
    <row r="37" spans="1:2" ht="16" x14ac:dyDescent="0.2">
      <c r="A37" s="1"/>
      <c r="B37" s="6"/>
    </row>
    <row r="38" spans="1:2" ht="16" x14ac:dyDescent="0.2">
      <c r="A38" s="1"/>
      <c r="B3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G24"/>
  <sheetViews>
    <sheetView zoomScale="134" workbookViewId="0">
      <selection activeCell="G3" sqref="G3"/>
    </sheetView>
  </sheetViews>
  <sheetFormatPr baseColWidth="10" defaultColWidth="8.83203125" defaultRowHeight="15" x14ac:dyDescent="0.2"/>
  <cols>
    <col min="4" max="4" width="12.5" customWidth="1"/>
    <col min="6" max="6" width="11.5" customWidth="1"/>
    <col min="7" max="7" width="10" customWidth="1"/>
    <col min="9" max="9" width="11.1640625" bestFit="1" customWidth="1"/>
  </cols>
  <sheetData>
    <row r="1" spans="1:7" ht="31" x14ac:dyDescent="0.2">
      <c r="A1" s="13" t="s">
        <v>122</v>
      </c>
    </row>
    <row r="3" spans="1:7" ht="24" x14ac:dyDescent="0.2">
      <c r="A3" s="12" t="s">
        <v>113</v>
      </c>
    </row>
    <row r="5" spans="1:7" ht="48" x14ac:dyDescent="0.2">
      <c r="A5" s="3" t="s">
        <v>123</v>
      </c>
      <c r="B5" s="3" t="s">
        <v>124</v>
      </c>
      <c r="C5" s="3" t="s">
        <v>13</v>
      </c>
      <c r="D5" s="3" t="s">
        <v>225</v>
      </c>
      <c r="E5" s="3" t="s">
        <v>224</v>
      </c>
      <c r="F5" s="3" t="s">
        <v>226</v>
      </c>
      <c r="G5" s="3" t="s">
        <v>227</v>
      </c>
    </row>
    <row r="6" spans="1:7" ht="16" x14ac:dyDescent="0.2">
      <c r="A6" s="2" t="s">
        <v>125</v>
      </c>
      <c r="B6" s="7">
        <v>46218</v>
      </c>
      <c r="C6" s="7">
        <v>46224</v>
      </c>
      <c r="D6" s="26">
        <f>C6-B6</f>
        <v>6</v>
      </c>
      <c r="E6" s="26">
        <f>NETWORKDAYS(B6,C6)</f>
        <v>5</v>
      </c>
      <c r="F6" s="27">
        <f>EOMONTH(C6,0)</f>
        <v>46234</v>
      </c>
      <c r="G6" s="26" t="str">
        <f>TEXT(C6,"dddd")</f>
        <v>Tuesday</v>
      </c>
    </row>
    <row r="7" spans="1:7" ht="16" x14ac:dyDescent="0.2">
      <c r="A7" s="2" t="s">
        <v>126</v>
      </c>
      <c r="B7" s="7">
        <v>46219</v>
      </c>
      <c r="C7" s="7">
        <v>46227</v>
      </c>
      <c r="D7" s="26">
        <f t="shared" ref="D7:D10" si="0">C7-B7</f>
        <v>8</v>
      </c>
      <c r="E7" s="26">
        <f t="shared" ref="E7:E10" si="1">NETWORKDAYS(B7,C7)</f>
        <v>7</v>
      </c>
      <c r="F7" s="27">
        <f t="shared" ref="F7:F10" si="2">EOMONTH(C7,0)</f>
        <v>46234</v>
      </c>
      <c r="G7" s="26" t="str">
        <f t="shared" ref="G7:G10" si="3">TEXT(C7,"dddd")</f>
        <v>Friday</v>
      </c>
    </row>
    <row r="8" spans="1:7" ht="16" x14ac:dyDescent="0.2">
      <c r="A8" s="2" t="s">
        <v>127</v>
      </c>
      <c r="B8" s="7">
        <v>46221</v>
      </c>
      <c r="C8" s="7">
        <v>46231</v>
      </c>
      <c r="D8" s="26">
        <f t="shared" si="0"/>
        <v>10</v>
      </c>
      <c r="E8" s="26">
        <f t="shared" si="1"/>
        <v>7</v>
      </c>
      <c r="F8" s="27">
        <f t="shared" si="2"/>
        <v>46234</v>
      </c>
      <c r="G8" s="26" t="str">
        <f t="shared" si="3"/>
        <v>Tuesday</v>
      </c>
    </row>
    <row r="9" spans="1:7" ht="16" x14ac:dyDescent="0.2">
      <c r="A9" s="2" t="s">
        <v>128</v>
      </c>
      <c r="B9" s="7">
        <v>46223</v>
      </c>
      <c r="C9" s="7">
        <v>46228</v>
      </c>
      <c r="D9" s="26">
        <f t="shared" si="0"/>
        <v>5</v>
      </c>
      <c r="E9" s="26">
        <f t="shared" si="1"/>
        <v>5</v>
      </c>
      <c r="F9" s="27">
        <f t="shared" si="2"/>
        <v>46234</v>
      </c>
      <c r="G9" s="26" t="str">
        <f t="shared" si="3"/>
        <v>Saturday</v>
      </c>
    </row>
    <row r="10" spans="1:7" ht="16" x14ac:dyDescent="0.2">
      <c r="A10" s="2" t="s">
        <v>129</v>
      </c>
      <c r="B10" s="7">
        <v>46225</v>
      </c>
      <c r="C10" s="7">
        <v>46232</v>
      </c>
      <c r="D10" s="26">
        <f t="shared" si="0"/>
        <v>7</v>
      </c>
      <c r="E10" s="26">
        <f t="shared" si="1"/>
        <v>6</v>
      </c>
      <c r="F10" s="27">
        <f t="shared" si="2"/>
        <v>46234</v>
      </c>
      <c r="G10" s="26" t="str">
        <f t="shared" si="3"/>
        <v>Wednesday</v>
      </c>
    </row>
    <row r="12" spans="1:7" ht="19" x14ac:dyDescent="0.2">
      <c r="A12" s="14" t="s">
        <v>114</v>
      </c>
    </row>
    <row r="13" spans="1:7" x14ac:dyDescent="0.2">
      <c r="A13" s="15"/>
    </row>
    <row r="14" spans="1:7" x14ac:dyDescent="0.2">
      <c r="A14" s="15" t="s">
        <v>130</v>
      </c>
    </row>
    <row r="15" spans="1:7" x14ac:dyDescent="0.2">
      <c r="A15" s="15" t="s">
        <v>131</v>
      </c>
    </row>
    <row r="16" spans="1:7" x14ac:dyDescent="0.2">
      <c r="A16" s="15" t="s">
        <v>132</v>
      </c>
    </row>
    <row r="17" spans="1:1" x14ac:dyDescent="0.2">
      <c r="A17" s="15" t="s">
        <v>133</v>
      </c>
    </row>
    <row r="19" spans="1:1" x14ac:dyDescent="0.2">
      <c r="A19" s="16"/>
    </row>
    <row r="20" spans="1:1" x14ac:dyDescent="0.2">
      <c r="A20" s="15"/>
    </row>
    <row r="21" spans="1:1" x14ac:dyDescent="0.2">
      <c r="A21" s="15"/>
    </row>
    <row r="22" spans="1:1" x14ac:dyDescent="0.2">
      <c r="A22" s="15"/>
    </row>
    <row r="23" spans="1:1" x14ac:dyDescent="0.2">
      <c r="A23" s="15"/>
    </row>
    <row r="24" spans="1:1" x14ac:dyDescent="0.2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G18"/>
  <sheetViews>
    <sheetView tabSelected="1" zoomScale="150" workbookViewId="0">
      <selection activeCell="H7" sqref="H7"/>
    </sheetView>
  </sheetViews>
  <sheetFormatPr baseColWidth="10" defaultColWidth="8.83203125" defaultRowHeight="15" x14ac:dyDescent="0.2"/>
  <cols>
    <col min="2" max="2" width="9.6640625" bestFit="1" customWidth="1"/>
    <col min="4" max="4" width="10.6640625" bestFit="1" customWidth="1"/>
    <col min="6" max="6" width="12.33203125" bestFit="1" customWidth="1"/>
    <col min="7" max="7" width="16.1640625" customWidth="1"/>
    <col min="8" max="8" width="10.5" bestFit="1" customWidth="1"/>
  </cols>
  <sheetData>
    <row r="1" spans="1:7" ht="31" x14ac:dyDescent="0.2">
      <c r="A1" s="13" t="s">
        <v>134</v>
      </c>
    </row>
    <row r="3" spans="1:7" ht="24" x14ac:dyDescent="0.2">
      <c r="A3" s="12" t="s">
        <v>113</v>
      </c>
    </row>
    <row r="5" spans="1:7" ht="16" x14ac:dyDescent="0.2">
      <c r="A5" s="3" t="s">
        <v>135</v>
      </c>
      <c r="B5" s="3" t="s">
        <v>136</v>
      </c>
      <c r="C5" s="29" t="s">
        <v>228</v>
      </c>
      <c r="D5" s="29" t="s">
        <v>229</v>
      </c>
      <c r="E5" s="29" t="s">
        <v>230</v>
      </c>
      <c r="F5" s="29" t="s">
        <v>232</v>
      </c>
      <c r="G5" s="29" t="s">
        <v>231</v>
      </c>
    </row>
    <row r="6" spans="1:7" ht="16" x14ac:dyDescent="0.2">
      <c r="A6" s="2" t="s">
        <v>137</v>
      </c>
      <c r="B6" s="7">
        <v>38064</v>
      </c>
      <c r="C6" s="26">
        <f ca="1">DATEDIF(B6,TODAY(),"y")</f>
        <v>22</v>
      </c>
      <c r="D6" s="30" t="str">
        <f>TEXT(B6,"mm")</f>
        <v>03</v>
      </c>
      <c r="E6" s="26" t="str">
        <f>TEXT(B6,"dd")</f>
        <v>18</v>
      </c>
      <c r="F6" s="26" t="str">
        <f>TEXT(B6,"dddd")</f>
        <v>Thursday</v>
      </c>
      <c r="G6" s="26">
        <f ca="1">YEAR(TODAY())+(DATE(YEAR(TODAY()),MONTH(B6),DAY(B6))&lt;TODAY())</f>
        <v>2027</v>
      </c>
    </row>
    <row r="7" spans="1:7" ht="16" x14ac:dyDescent="0.2">
      <c r="A7" s="2" t="s">
        <v>28</v>
      </c>
      <c r="B7" s="7">
        <v>38362</v>
      </c>
      <c r="C7" s="26">
        <f t="shared" ref="C7:C10" ca="1" si="0">DATEDIF(B7,TODAY(),"y")</f>
        <v>21</v>
      </c>
      <c r="D7" s="30" t="str">
        <f t="shared" ref="D7:D10" si="1">TEXT(B7,"mm")</f>
        <v>01</v>
      </c>
      <c r="E7" s="26" t="str">
        <f t="shared" ref="E7:E10" si="2">TEXT(B7,"dd")</f>
        <v>10</v>
      </c>
      <c r="F7" s="26" t="str">
        <f t="shared" ref="F7:F10" si="3">TEXT(B7,"dddd")</f>
        <v>Monday</v>
      </c>
      <c r="G7" s="26">
        <f t="shared" ref="G7:G10" ca="1" si="4">YEAR(TODAY())+(DATE(YEAR(TODAY()),MONTH(B7),DAY(B7))&lt;TODAY())</f>
        <v>2027</v>
      </c>
    </row>
    <row r="8" spans="1:7" ht="16" x14ac:dyDescent="0.2">
      <c r="A8" s="2" t="s">
        <v>30</v>
      </c>
      <c r="B8" s="7">
        <v>37947</v>
      </c>
      <c r="C8" s="26">
        <f t="shared" ca="1" si="0"/>
        <v>22</v>
      </c>
      <c r="D8" s="30" t="str">
        <f t="shared" si="1"/>
        <v>11</v>
      </c>
      <c r="E8" s="26" t="str">
        <f t="shared" si="2"/>
        <v>22</v>
      </c>
      <c r="F8" s="26" t="str">
        <f t="shared" si="3"/>
        <v>Saturday</v>
      </c>
      <c r="G8" s="26">
        <f t="shared" ca="1" si="4"/>
        <v>2026</v>
      </c>
    </row>
    <row r="9" spans="1:7" ht="16" x14ac:dyDescent="0.2">
      <c r="A9" s="2" t="s">
        <v>40</v>
      </c>
      <c r="B9" s="7">
        <v>38183</v>
      </c>
      <c r="C9" s="26">
        <f t="shared" ca="1" si="0"/>
        <v>22</v>
      </c>
      <c r="D9" s="30" t="str">
        <f t="shared" si="1"/>
        <v>07</v>
      </c>
      <c r="E9" s="26" t="str">
        <f t="shared" si="2"/>
        <v>15</v>
      </c>
      <c r="F9" s="26" t="str">
        <f t="shared" si="3"/>
        <v>Thursday</v>
      </c>
      <c r="G9" s="26">
        <f t="shared" ca="1" si="4"/>
        <v>2027</v>
      </c>
    </row>
    <row r="10" spans="1:7" ht="16" x14ac:dyDescent="0.2">
      <c r="A10" s="2" t="s">
        <v>24</v>
      </c>
      <c r="B10" s="7">
        <v>38845</v>
      </c>
      <c r="C10" s="26">
        <f t="shared" ca="1" si="0"/>
        <v>20</v>
      </c>
      <c r="D10" s="30" t="str">
        <f t="shared" si="1"/>
        <v>05</v>
      </c>
      <c r="E10" s="26" t="str">
        <f t="shared" si="2"/>
        <v>08</v>
      </c>
      <c r="F10" s="26" t="str">
        <f t="shared" si="3"/>
        <v>Monday</v>
      </c>
      <c r="G10" s="26">
        <f t="shared" ca="1" si="4"/>
        <v>2027</v>
      </c>
    </row>
    <row r="12" spans="1:7" ht="19" x14ac:dyDescent="0.2">
      <c r="A12" s="14" t="s">
        <v>114</v>
      </c>
    </row>
    <row r="13" spans="1:7" x14ac:dyDescent="0.2">
      <c r="A13" s="15"/>
    </row>
    <row r="14" spans="1:7" x14ac:dyDescent="0.2">
      <c r="A14" s="15" t="s">
        <v>138</v>
      </c>
    </row>
    <row r="15" spans="1:7" x14ac:dyDescent="0.2">
      <c r="A15" s="15" t="s">
        <v>139</v>
      </c>
    </row>
    <row r="16" spans="1:7" x14ac:dyDescent="0.2">
      <c r="A16" s="15" t="s">
        <v>140</v>
      </c>
    </row>
    <row r="17" spans="1:1" x14ac:dyDescent="0.2">
      <c r="A17" s="15" t="s">
        <v>141</v>
      </c>
    </row>
    <row r="18" spans="1:1" x14ac:dyDescent="0.2">
      <c r="A18" s="1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H17"/>
  <sheetViews>
    <sheetView zoomScale="166" workbookViewId="0">
      <selection activeCell="H5" sqref="H5"/>
    </sheetView>
  </sheetViews>
  <sheetFormatPr baseColWidth="10" defaultColWidth="8.83203125" defaultRowHeight="15" x14ac:dyDescent="0.2"/>
  <cols>
    <col min="1" max="1" width="9.6640625" customWidth="1"/>
    <col min="3" max="3" width="8.1640625" bestFit="1" customWidth="1"/>
    <col min="4" max="7" width="9.5" customWidth="1"/>
    <col min="8" max="8" width="18.5" customWidth="1"/>
    <col min="9" max="9" width="17" bestFit="1" customWidth="1"/>
  </cols>
  <sheetData>
    <row r="1" spans="1:8" ht="31" x14ac:dyDescent="0.2">
      <c r="A1" s="13" t="s">
        <v>143</v>
      </c>
    </row>
    <row r="3" spans="1:8" ht="24" x14ac:dyDescent="0.2">
      <c r="A3" s="12" t="s">
        <v>113</v>
      </c>
    </row>
    <row r="4" spans="1:8" ht="23" customHeight="1" x14ac:dyDescent="0.2"/>
    <row r="5" spans="1:8" ht="48" x14ac:dyDescent="0.2">
      <c r="A5" s="3" t="s">
        <v>144</v>
      </c>
      <c r="B5" s="3" t="s">
        <v>145</v>
      </c>
      <c r="C5" s="3" t="s">
        <v>146</v>
      </c>
      <c r="D5" s="3" t="s">
        <v>233</v>
      </c>
      <c r="E5" s="3" t="s">
        <v>234</v>
      </c>
      <c r="F5" s="3" t="s">
        <v>235</v>
      </c>
      <c r="G5" s="3" t="s">
        <v>236</v>
      </c>
    </row>
    <row r="6" spans="1:8" ht="21" customHeight="1" x14ac:dyDescent="0.2">
      <c r="A6" s="2" t="s">
        <v>147</v>
      </c>
      <c r="B6" s="7">
        <v>46218</v>
      </c>
      <c r="C6" s="2">
        <v>45</v>
      </c>
      <c r="D6" s="27">
        <f>WORKDAY(B6,+C6)</f>
        <v>46281</v>
      </c>
      <c r="E6" s="30" t="str">
        <f>TEXT(D6,"mmmm")</f>
        <v>September</v>
      </c>
      <c r="F6" s="26" t="str">
        <f>TEXT(D6,"yy")</f>
        <v>26</v>
      </c>
      <c r="G6" s="27">
        <f>EOMONTH(D6,0)</f>
        <v>46295</v>
      </c>
      <c r="H6" s="18"/>
    </row>
    <row r="7" spans="1:8" ht="21" customHeight="1" x14ac:dyDescent="0.2">
      <c r="A7" s="2" t="s">
        <v>148</v>
      </c>
      <c r="B7" s="7">
        <v>46223</v>
      </c>
      <c r="C7" s="2">
        <v>30</v>
      </c>
      <c r="D7" s="27">
        <f t="shared" ref="D7:D10" si="0">WORKDAY(B7,+C7)</f>
        <v>46265</v>
      </c>
      <c r="E7" s="30" t="str">
        <f t="shared" ref="E7:E10" si="1">TEXT(D7,"mmmm")</f>
        <v>August</v>
      </c>
      <c r="F7" s="26" t="str">
        <f t="shared" ref="F7:F10" si="2">TEXT(B7,"yy")</f>
        <v>26</v>
      </c>
      <c r="G7" s="27">
        <f t="shared" ref="G7:G10" si="3">EOMONTH(B7,0)</f>
        <v>46234</v>
      </c>
      <c r="H7" s="18"/>
    </row>
    <row r="8" spans="1:8" ht="21" customHeight="1" x14ac:dyDescent="0.2">
      <c r="A8" s="2" t="s">
        <v>149</v>
      </c>
      <c r="B8" s="7">
        <v>46228</v>
      </c>
      <c r="C8" s="2">
        <v>60</v>
      </c>
      <c r="D8" s="27">
        <f t="shared" si="0"/>
        <v>46311</v>
      </c>
      <c r="E8" s="30" t="str">
        <f t="shared" si="1"/>
        <v>October</v>
      </c>
      <c r="F8" s="26" t="str">
        <f t="shared" si="2"/>
        <v>26</v>
      </c>
      <c r="G8" s="27">
        <f t="shared" si="3"/>
        <v>46234</v>
      </c>
      <c r="H8" s="18"/>
    </row>
    <row r="9" spans="1:8" ht="21" customHeight="1" x14ac:dyDescent="0.2">
      <c r="A9" s="2" t="s">
        <v>150</v>
      </c>
      <c r="B9" s="7">
        <v>46231</v>
      </c>
      <c r="C9" s="2">
        <v>50</v>
      </c>
      <c r="D9" s="27">
        <f t="shared" si="0"/>
        <v>46301</v>
      </c>
      <c r="E9" s="30" t="str">
        <f t="shared" si="1"/>
        <v>October</v>
      </c>
      <c r="F9" s="26" t="str">
        <f t="shared" si="2"/>
        <v>26</v>
      </c>
      <c r="G9" s="27">
        <f t="shared" si="3"/>
        <v>46234</v>
      </c>
      <c r="H9" s="18"/>
    </row>
    <row r="10" spans="1:8" ht="21" customHeight="1" x14ac:dyDescent="0.2">
      <c r="A10" s="2" t="s">
        <v>151</v>
      </c>
      <c r="B10" s="7">
        <v>46233</v>
      </c>
      <c r="C10" s="2">
        <v>25</v>
      </c>
      <c r="D10" s="27">
        <f t="shared" si="0"/>
        <v>46268</v>
      </c>
      <c r="E10" s="30" t="str">
        <f t="shared" si="1"/>
        <v>September</v>
      </c>
      <c r="F10" s="26" t="str">
        <f t="shared" si="2"/>
        <v>26</v>
      </c>
      <c r="G10" s="27">
        <f t="shared" si="3"/>
        <v>46234</v>
      </c>
      <c r="H10" s="18"/>
    </row>
    <row r="12" spans="1:8" ht="19" x14ac:dyDescent="0.2">
      <c r="A12" s="14" t="s">
        <v>114</v>
      </c>
    </row>
    <row r="13" spans="1:8" x14ac:dyDescent="0.2">
      <c r="A13" s="15"/>
    </row>
    <row r="14" spans="1:8" x14ac:dyDescent="0.2">
      <c r="A14" s="15" t="s">
        <v>152</v>
      </c>
    </row>
    <row r="15" spans="1:8" x14ac:dyDescent="0.2">
      <c r="A15" s="15" t="s">
        <v>153</v>
      </c>
    </row>
    <row r="16" spans="1:8" x14ac:dyDescent="0.2">
      <c r="A16" s="15" t="s">
        <v>154</v>
      </c>
    </row>
    <row r="17" spans="1:1" x14ac:dyDescent="0.2">
      <c r="A17" s="15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G17"/>
  <sheetViews>
    <sheetView zoomScale="184" workbookViewId="0">
      <selection activeCell="G6" sqref="G6"/>
    </sheetView>
  </sheetViews>
  <sheetFormatPr baseColWidth="10" defaultColWidth="8.83203125" defaultRowHeight="15" x14ac:dyDescent="0.2"/>
  <cols>
    <col min="1" max="7" width="9.33203125" customWidth="1"/>
    <col min="9" max="9" width="14.5" bestFit="1" customWidth="1"/>
  </cols>
  <sheetData>
    <row r="1" spans="1:7" ht="31" x14ac:dyDescent="0.2">
      <c r="A1" s="13" t="s">
        <v>156</v>
      </c>
    </row>
    <row r="3" spans="1:7" ht="24" x14ac:dyDescent="0.2">
      <c r="A3" s="12" t="s">
        <v>113</v>
      </c>
    </row>
    <row r="5" spans="1:7" ht="64" x14ac:dyDescent="0.2">
      <c r="A5" s="3" t="s">
        <v>157</v>
      </c>
      <c r="B5" s="3" t="s">
        <v>158</v>
      </c>
      <c r="C5" s="3" t="s">
        <v>159</v>
      </c>
      <c r="D5" s="32" t="s">
        <v>237</v>
      </c>
      <c r="E5" s="32" t="s">
        <v>238</v>
      </c>
      <c r="F5" s="32" t="s">
        <v>239</v>
      </c>
      <c r="G5" s="32" t="s">
        <v>240</v>
      </c>
    </row>
    <row r="6" spans="1:7" ht="16" x14ac:dyDescent="0.2">
      <c r="A6" s="2" t="s">
        <v>18</v>
      </c>
      <c r="B6" s="7">
        <v>45303</v>
      </c>
      <c r="C6" s="2">
        <v>24</v>
      </c>
      <c r="D6" s="27">
        <f>EDATE(B6,C6)</f>
        <v>46034</v>
      </c>
      <c r="E6" s="26">
        <f>YEAR(D6)</f>
        <v>2026</v>
      </c>
      <c r="F6" s="26" t="str">
        <f>TEXT(D6,"mmmm")</f>
        <v>January</v>
      </c>
      <c r="G6" s="27">
        <f>EOMONTH(D6,0)</f>
        <v>46053</v>
      </c>
    </row>
    <row r="7" spans="1:7" ht="16" x14ac:dyDescent="0.2">
      <c r="A7" s="2" t="s">
        <v>22</v>
      </c>
      <c r="B7" s="7">
        <v>45003</v>
      </c>
      <c r="C7" s="2">
        <v>36</v>
      </c>
      <c r="D7" s="27">
        <f t="shared" ref="D7:D10" si="0">EDATE(B7,C7)</f>
        <v>46099</v>
      </c>
      <c r="E7" s="26">
        <f t="shared" ref="E7:E10" si="1">YEAR(D7)</f>
        <v>2026</v>
      </c>
      <c r="F7" s="26" t="str">
        <f t="shared" ref="F7:F10" si="2">TEXT(D7,"mmmm")</f>
        <v>March</v>
      </c>
      <c r="G7" s="27">
        <f t="shared" ref="G7:G10" si="3">EOMONTH(D7,0)</f>
        <v>46112</v>
      </c>
    </row>
    <row r="8" spans="1:7" ht="16" x14ac:dyDescent="0.2">
      <c r="A8" s="2" t="s">
        <v>20</v>
      </c>
      <c r="B8" s="7">
        <v>45833</v>
      </c>
      <c r="C8" s="2">
        <v>18</v>
      </c>
      <c r="D8" s="27">
        <f t="shared" si="0"/>
        <v>46381</v>
      </c>
      <c r="E8" s="26">
        <f t="shared" si="1"/>
        <v>2026</v>
      </c>
      <c r="F8" s="26" t="str">
        <f t="shared" si="2"/>
        <v>December</v>
      </c>
      <c r="G8" s="27">
        <f t="shared" si="3"/>
        <v>46387</v>
      </c>
    </row>
    <row r="9" spans="1:7" ht="16" x14ac:dyDescent="0.2">
      <c r="A9" s="2" t="s">
        <v>24</v>
      </c>
      <c r="B9" s="7">
        <v>44600</v>
      </c>
      <c r="C9" s="2">
        <v>48</v>
      </c>
      <c r="D9" s="27">
        <f t="shared" si="0"/>
        <v>46061</v>
      </c>
      <c r="E9" s="26">
        <f t="shared" si="1"/>
        <v>2026</v>
      </c>
      <c r="F9" s="26" t="str">
        <f t="shared" si="2"/>
        <v>February</v>
      </c>
      <c r="G9" s="27">
        <f t="shared" si="3"/>
        <v>46081</v>
      </c>
    </row>
    <row r="10" spans="1:7" ht="16" x14ac:dyDescent="0.2">
      <c r="A10" s="2" t="s">
        <v>30</v>
      </c>
      <c r="B10" s="7">
        <v>45610</v>
      </c>
      <c r="C10" s="2">
        <v>12</v>
      </c>
      <c r="D10" s="27">
        <f t="shared" si="0"/>
        <v>45975</v>
      </c>
      <c r="E10" s="26">
        <f t="shared" si="1"/>
        <v>2025</v>
      </c>
      <c r="F10" s="26" t="str">
        <f t="shared" si="2"/>
        <v>November</v>
      </c>
      <c r="G10" s="27">
        <f t="shared" si="3"/>
        <v>45991</v>
      </c>
    </row>
    <row r="12" spans="1:7" ht="19" x14ac:dyDescent="0.2">
      <c r="A12" s="14" t="s">
        <v>114</v>
      </c>
    </row>
    <row r="13" spans="1:7" x14ac:dyDescent="0.2">
      <c r="A13" s="15"/>
    </row>
    <row r="14" spans="1:7" x14ac:dyDescent="0.2">
      <c r="A14" s="15" t="s">
        <v>160</v>
      </c>
    </row>
    <row r="15" spans="1:7" x14ac:dyDescent="0.2">
      <c r="A15" s="15" t="s">
        <v>161</v>
      </c>
    </row>
    <row r="16" spans="1:7" x14ac:dyDescent="0.2">
      <c r="A16" s="15" t="s">
        <v>162</v>
      </c>
    </row>
    <row r="17" spans="1:1" x14ac:dyDescent="0.2">
      <c r="A17" s="15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G20"/>
  <sheetViews>
    <sheetView zoomScale="136" workbookViewId="0">
      <selection activeCell="I5" sqref="I5"/>
    </sheetView>
  </sheetViews>
  <sheetFormatPr baseColWidth="10" defaultColWidth="8.83203125" defaultRowHeight="15" x14ac:dyDescent="0.2"/>
  <cols>
    <col min="8" max="8" width="11.1640625" bestFit="1" customWidth="1"/>
  </cols>
  <sheetData>
    <row r="1" spans="1:7" ht="31" x14ac:dyDescent="0.2">
      <c r="A1" s="13" t="s">
        <v>164</v>
      </c>
    </row>
    <row r="3" spans="1:7" ht="24" x14ac:dyDescent="0.2">
      <c r="A3" s="12" t="s">
        <v>113</v>
      </c>
    </row>
    <row r="5" spans="1:7" ht="48" x14ac:dyDescent="0.2">
      <c r="A5" s="3" t="s">
        <v>165</v>
      </c>
      <c r="B5" s="3" t="s">
        <v>166</v>
      </c>
      <c r="C5" s="3" t="s">
        <v>167</v>
      </c>
      <c r="D5" s="32" t="s">
        <v>206</v>
      </c>
      <c r="E5" s="32" t="s">
        <v>241</v>
      </c>
      <c r="F5" s="32" t="s">
        <v>242</v>
      </c>
      <c r="G5" s="32" t="s">
        <v>243</v>
      </c>
    </row>
    <row r="6" spans="1:7" ht="16" x14ac:dyDescent="0.2">
      <c r="A6" s="2" t="s">
        <v>168</v>
      </c>
      <c r="B6" s="7">
        <v>46213</v>
      </c>
      <c r="C6" s="2">
        <v>15</v>
      </c>
      <c r="D6" s="27">
        <f>B6+C6</f>
        <v>46228</v>
      </c>
      <c r="E6" s="26" t="str">
        <f>TEXT(D6,"dddd")</f>
        <v>Saturday</v>
      </c>
      <c r="F6" s="26" t="str">
        <f>TEXT(D6,"mmmm")</f>
        <v>July</v>
      </c>
      <c r="G6" s="27">
        <f>EOMONTH(D6,0)</f>
        <v>46234</v>
      </c>
    </row>
    <row r="7" spans="1:7" ht="16" x14ac:dyDescent="0.2">
      <c r="A7" s="2" t="s">
        <v>169</v>
      </c>
      <c r="B7" s="7">
        <v>46215</v>
      </c>
      <c r="C7" s="2">
        <v>30</v>
      </c>
      <c r="D7" s="27">
        <f t="shared" ref="D7:D10" si="0">B7+C7</f>
        <v>46245</v>
      </c>
      <c r="E7" s="26" t="str">
        <f t="shared" ref="E7:E10" si="1">TEXT(D7,"dddd")</f>
        <v>Tuesday</v>
      </c>
      <c r="F7" s="26" t="str">
        <f t="shared" ref="F7:F10" si="2">TEXT(D7,"mmmm")</f>
        <v>August</v>
      </c>
      <c r="G7" s="27">
        <f t="shared" ref="G7:G10" si="3">EOMONTH(D7,0)</f>
        <v>46265</v>
      </c>
    </row>
    <row r="8" spans="1:7" ht="16" x14ac:dyDescent="0.2">
      <c r="A8" s="2" t="s">
        <v>170</v>
      </c>
      <c r="B8" s="7">
        <v>46218</v>
      </c>
      <c r="C8" s="2">
        <v>45</v>
      </c>
      <c r="D8" s="27">
        <f t="shared" si="0"/>
        <v>46263</v>
      </c>
      <c r="E8" s="26" t="str">
        <f t="shared" si="1"/>
        <v>Saturday</v>
      </c>
      <c r="F8" s="26" t="str">
        <f t="shared" si="2"/>
        <v>August</v>
      </c>
      <c r="G8" s="27">
        <f t="shared" si="3"/>
        <v>46265</v>
      </c>
    </row>
    <row r="9" spans="1:7" ht="16" x14ac:dyDescent="0.2">
      <c r="A9" s="2" t="s">
        <v>171</v>
      </c>
      <c r="B9" s="7">
        <v>46223</v>
      </c>
      <c r="C9" s="2">
        <v>60</v>
      </c>
      <c r="D9" s="27">
        <f t="shared" si="0"/>
        <v>46283</v>
      </c>
      <c r="E9" s="26" t="str">
        <f t="shared" si="1"/>
        <v>Friday</v>
      </c>
      <c r="F9" s="26" t="str">
        <f t="shared" si="2"/>
        <v>September</v>
      </c>
      <c r="G9" s="27">
        <f t="shared" si="3"/>
        <v>46295</v>
      </c>
    </row>
    <row r="10" spans="1:7" ht="16" x14ac:dyDescent="0.2">
      <c r="A10" s="2" t="s">
        <v>172</v>
      </c>
      <c r="B10" s="7">
        <v>46228</v>
      </c>
      <c r="C10" s="2">
        <v>90</v>
      </c>
      <c r="D10" s="27">
        <f t="shared" si="0"/>
        <v>46318</v>
      </c>
      <c r="E10" s="26" t="str">
        <f t="shared" si="1"/>
        <v>Friday</v>
      </c>
      <c r="F10" s="26" t="str">
        <f t="shared" si="2"/>
        <v>October</v>
      </c>
      <c r="G10" s="27">
        <f t="shared" si="3"/>
        <v>46326</v>
      </c>
    </row>
    <row r="12" spans="1:7" ht="19" x14ac:dyDescent="0.2">
      <c r="A12" s="14" t="s">
        <v>114</v>
      </c>
    </row>
    <row r="13" spans="1:7" x14ac:dyDescent="0.2">
      <c r="A13" s="15"/>
    </row>
    <row r="14" spans="1:7" x14ac:dyDescent="0.2">
      <c r="A14" s="15" t="s">
        <v>173</v>
      </c>
    </row>
    <row r="15" spans="1:7" x14ac:dyDescent="0.2">
      <c r="A15" s="15" t="s">
        <v>174</v>
      </c>
    </row>
    <row r="16" spans="1:7" x14ac:dyDescent="0.2">
      <c r="A16" s="15" t="s">
        <v>175</v>
      </c>
    </row>
    <row r="17" spans="1:1" x14ac:dyDescent="0.2">
      <c r="A17" s="15" t="s">
        <v>176</v>
      </c>
    </row>
    <row r="20" spans="1:1" x14ac:dyDescent="0.2">
      <c r="A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G18"/>
  <sheetViews>
    <sheetView zoomScale="150" workbookViewId="0">
      <selection activeCell="H6" sqref="H6"/>
    </sheetView>
  </sheetViews>
  <sheetFormatPr baseColWidth="10" defaultColWidth="8.83203125" defaultRowHeight="15" x14ac:dyDescent="0.2"/>
  <cols>
    <col min="2" max="2" width="9.33203125" bestFit="1" customWidth="1"/>
    <col min="3" max="3" width="8.33203125" bestFit="1" customWidth="1"/>
    <col min="4" max="4" width="12" bestFit="1" customWidth="1"/>
    <col min="5" max="5" width="13" bestFit="1" customWidth="1"/>
    <col min="6" max="6" width="26" bestFit="1" customWidth="1"/>
    <col min="7" max="7" width="23" bestFit="1" customWidth="1"/>
  </cols>
  <sheetData>
    <row r="1" spans="1:7" ht="31" x14ac:dyDescent="0.2">
      <c r="A1" s="13" t="s">
        <v>177</v>
      </c>
    </row>
    <row r="3" spans="1:7" ht="24" x14ac:dyDescent="0.2">
      <c r="A3" s="12" t="s">
        <v>113</v>
      </c>
    </row>
    <row r="5" spans="1:7" ht="29" customHeight="1" x14ac:dyDescent="0.2">
      <c r="A5" s="3" t="s">
        <v>178</v>
      </c>
      <c r="B5" s="3" t="s">
        <v>179</v>
      </c>
      <c r="C5" s="29" t="s">
        <v>244</v>
      </c>
      <c r="D5" s="29" t="s">
        <v>245</v>
      </c>
      <c r="E5" s="29" t="s">
        <v>246</v>
      </c>
      <c r="F5" s="29" t="s">
        <v>247</v>
      </c>
      <c r="G5" s="29" t="s">
        <v>248</v>
      </c>
    </row>
    <row r="6" spans="1:7" ht="23" customHeight="1" x14ac:dyDescent="0.2">
      <c r="A6" s="2" t="s">
        <v>180</v>
      </c>
      <c r="B6" s="7">
        <v>46249</v>
      </c>
      <c r="C6" s="34">
        <f>WEEKDAY(B6,2)</f>
        <v>6</v>
      </c>
      <c r="D6" s="34" t="str">
        <f>TEXT(B6,"mmmm")</f>
        <v>August</v>
      </c>
      <c r="E6" s="34">
        <f>WEEKNUM(B6)</f>
        <v>33</v>
      </c>
      <c r="F6" s="36">
        <f ca="1">B6-TODAY()</f>
        <v>-48</v>
      </c>
      <c r="G6" s="35">
        <f>EOMONTH(B6,0)</f>
        <v>46265</v>
      </c>
    </row>
    <row r="7" spans="1:7" ht="25" customHeight="1" x14ac:dyDescent="0.2">
      <c r="A7" s="2" t="s">
        <v>181</v>
      </c>
      <c r="B7" s="7">
        <v>46262</v>
      </c>
      <c r="C7" s="34">
        <f t="shared" ref="C7:C10" si="0">WEEKDAY(B7,2)</f>
        <v>5</v>
      </c>
      <c r="D7" s="34" t="str">
        <f t="shared" ref="D7:D10" si="1">TEXT(B7,"mmmm")</f>
        <v>August</v>
      </c>
      <c r="E7" s="34">
        <f t="shared" ref="E7:E10" si="2">WEEKNUM(B7)</f>
        <v>35</v>
      </c>
      <c r="F7" s="36">
        <f t="shared" ref="F7:F10" ca="1" si="3">B7-TODAY()</f>
        <v>-35</v>
      </c>
      <c r="G7" s="35">
        <f t="shared" ref="G7:G10" si="4">EOMONTH(B7,0)</f>
        <v>46265</v>
      </c>
    </row>
    <row r="8" spans="1:7" ht="25" customHeight="1" x14ac:dyDescent="0.2">
      <c r="A8" s="2" t="s">
        <v>182</v>
      </c>
      <c r="B8" s="7">
        <v>46277</v>
      </c>
      <c r="C8" s="34">
        <f t="shared" si="0"/>
        <v>6</v>
      </c>
      <c r="D8" s="34" t="str">
        <f t="shared" si="1"/>
        <v>September</v>
      </c>
      <c r="E8" s="34">
        <f t="shared" si="2"/>
        <v>37</v>
      </c>
      <c r="F8" s="36">
        <f t="shared" ca="1" si="3"/>
        <v>-20</v>
      </c>
      <c r="G8" s="35">
        <f t="shared" si="4"/>
        <v>46295</v>
      </c>
    </row>
    <row r="9" spans="1:7" ht="23" customHeight="1" x14ac:dyDescent="0.2">
      <c r="A9" s="2" t="s">
        <v>183</v>
      </c>
      <c r="B9" s="7">
        <v>46320</v>
      </c>
      <c r="C9" s="34">
        <f t="shared" si="0"/>
        <v>7</v>
      </c>
      <c r="D9" s="34" t="str">
        <f t="shared" si="1"/>
        <v>October</v>
      </c>
      <c r="E9" s="34">
        <f t="shared" si="2"/>
        <v>44</v>
      </c>
      <c r="F9" s="36">
        <f t="shared" ca="1" si="3"/>
        <v>23</v>
      </c>
      <c r="G9" s="35">
        <f t="shared" si="4"/>
        <v>46326</v>
      </c>
    </row>
    <row r="10" spans="1:7" ht="25" customHeight="1" x14ac:dyDescent="0.2">
      <c r="A10" s="2" t="s">
        <v>184</v>
      </c>
      <c r="B10" s="7">
        <v>46344</v>
      </c>
      <c r="C10" s="34">
        <f t="shared" si="0"/>
        <v>3</v>
      </c>
      <c r="D10" s="34" t="str">
        <f t="shared" si="1"/>
        <v>November</v>
      </c>
      <c r="E10" s="34">
        <f t="shared" si="2"/>
        <v>47</v>
      </c>
      <c r="F10" s="36">
        <f t="shared" ca="1" si="3"/>
        <v>47</v>
      </c>
      <c r="G10" s="35">
        <f t="shared" si="4"/>
        <v>46356</v>
      </c>
    </row>
    <row r="12" spans="1:7" ht="19" x14ac:dyDescent="0.2">
      <c r="A12" s="14" t="s">
        <v>114</v>
      </c>
    </row>
    <row r="13" spans="1:7" x14ac:dyDescent="0.2">
      <c r="A13" s="15"/>
    </row>
    <row r="14" spans="1:7" x14ac:dyDescent="0.2">
      <c r="A14" s="15" t="s">
        <v>185</v>
      </c>
    </row>
    <row r="15" spans="1:7" x14ac:dyDescent="0.2">
      <c r="A15" s="15" t="s">
        <v>186</v>
      </c>
    </row>
    <row r="16" spans="1:7" x14ac:dyDescent="0.2">
      <c r="A16" s="15" t="s">
        <v>187</v>
      </c>
    </row>
    <row r="17" spans="1:1" x14ac:dyDescent="0.2">
      <c r="A17" s="15" t="s">
        <v>188</v>
      </c>
    </row>
    <row r="18" spans="1:1" x14ac:dyDescent="0.2">
      <c r="A18" s="1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O23"/>
  <sheetViews>
    <sheetView topLeftCell="A2" zoomScale="150" workbookViewId="0">
      <selection activeCell="N14" sqref="N14"/>
    </sheetView>
  </sheetViews>
  <sheetFormatPr baseColWidth="10" defaultColWidth="8.83203125" defaultRowHeight="15" x14ac:dyDescent="0.2"/>
  <cols>
    <col min="1" max="1" width="10.33203125" customWidth="1"/>
    <col min="2" max="2" width="9.5" bestFit="1" customWidth="1"/>
    <col min="3" max="3" width="9.6640625" bestFit="1" customWidth="1"/>
    <col min="5" max="5" width="9.33203125" bestFit="1" customWidth="1"/>
    <col min="7" max="7" width="9.83203125" customWidth="1"/>
    <col min="8" max="8" width="9.6640625" customWidth="1"/>
    <col min="10" max="10" width="14" customWidth="1"/>
    <col min="11" max="11" width="12.33203125" customWidth="1"/>
    <col min="12" max="13" width="9.6640625" customWidth="1"/>
    <col min="14" max="14" width="9.5" customWidth="1"/>
  </cols>
  <sheetData>
    <row r="1" spans="1:15" ht="31" x14ac:dyDescent="0.2">
      <c r="A1" s="13" t="s">
        <v>190</v>
      </c>
    </row>
    <row r="3" spans="1:15" ht="24" x14ac:dyDescent="0.2">
      <c r="A3" s="12" t="s">
        <v>113</v>
      </c>
    </row>
    <row r="5" spans="1:15" ht="64" x14ac:dyDescent="0.2">
      <c r="A5" s="3" t="s">
        <v>11</v>
      </c>
      <c r="B5" s="3" t="s">
        <v>12</v>
      </c>
      <c r="C5" s="3" t="s">
        <v>136</v>
      </c>
      <c r="D5" s="3" t="s">
        <v>191</v>
      </c>
      <c r="E5" s="3" t="s">
        <v>192</v>
      </c>
      <c r="F5" s="32" t="s">
        <v>249</v>
      </c>
      <c r="G5" s="32" t="s">
        <v>250</v>
      </c>
      <c r="H5" s="32" t="s">
        <v>251</v>
      </c>
      <c r="I5" s="32" t="s">
        <v>252</v>
      </c>
      <c r="J5" s="32" t="s">
        <v>253</v>
      </c>
      <c r="K5" s="32" t="s">
        <v>254</v>
      </c>
      <c r="L5" s="32" t="s">
        <v>255</v>
      </c>
      <c r="M5" s="32" t="s">
        <v>258</v>
      </c>
      <c r="N5" s="32" t="s">
        <v>256</v>
      </c>
      <c r="O5" s="32" t="s">
        <v>257</v>
      </c>
    </row>
    <row r="6" spans="1:15" ht="16" x14ac:dyDescent="0.2">
      <c r="A6" s="2" t="s">
        <v>18</v>
      </c>
      <c r="B6" s="7">
        <v>43845</v>
      </c>
      <c r="C6" s="7">
        <v>35925</v>
      </c>
      <c r="D6" s="7">
        <v>46213</v>
      </c>
      <c r="E6" s="7">
        <v>46280</v>
      </c>
      <c r="F6" s="26">
        <f ca="1">DATEDIF(C6,TODAY(),"y")</f>
        <v>28</v>
      </c>
      <c r="G6" s="26">
        <f ca="1">DATEDIF(B6,TODAY(),"y")</f>
        <v>6</v>
      </c>
      <c r="H6" s="26" t="str">
        <f>TEXT(B6,"dddd")</f>
        <v>Wednesday</v>
      </c>
      <c r="I6" s="26" t="str">
        <f>TEXT(B6,"mmmm")</f>
        <v>January</v>
      </c>
      <c r="J6" s="37">
        <f>D6-E6</f>
        <v>-67</v>
      </c>
      <c r="K6" s="26">
        <f>NETWORKDAYS(D6,E6)</f>
        <v>48</v>
      </c>
      <c r="L6" s="26" t="str">
        <f>TEXT(E6,"mmmm")</f>
        <v>September</v>
      </c>
      <c r="M6" s="27">
        <f>EOMONTH(E6,0)</f>
        <v>46295</v>
      </c>
      <c r="N6" s="27">
        <f>EDATE(B6,3)</f>
        <v>43936</v>
      </c>
      <c r="O6" s="33">
        <f>YEARFRAC(D6,E6)</f>
        <v>0.18055555555555555</v>
      </c>
    </row>
    <row r="7" spans="1:15" ht="16" x14ac:dyDescent="0.2">
      <c r="A7" s="2" t="s">
        <v>20</v>
      </c>
      <c r="B7" s="7">
        <v>44273</v>
      </c>
      <c r="C7" s="7">
        <v>36482</v>
      </c>
      <c r="D7" s="7">
        <v>46218</v>
      </c>
      <c r="E7" s="7">
        <v>46323</v>
      </c>
      <c r="F7" s="26">
        <f t="shared" ref="F7:F10" ca="1" si="0">DATEDIF(C7,TODAY(),"y")</f>
        <v>26</v>
      </c>
      <c r="G7" s="26">
        <f t="shared" ref="G7:G10" ca="1" si="1">DATEDIF(B7,TODAY(),"y")</f>
        <v>5</v>
      </c>
      <c r="H7" s="26" t="str">
        <f t="shared" ref="H7:H10" si="2">TEXT(B7,"dddd")</f>
        <v>Thursday</v>
      </c>
      <c r="I7" s="26" t="str">
        <f t="shared" ref="I7:I10" si="3">TEXT(B7,"mmmm")</f>
        <v>March</v>
      </c>
      <c r="J7" s="26">
        <f t="shared" ref="J7:J10" si="4">D7-E7</f>
        <v>-105</v>
      </c>
      <c r="K7" s="26">
        <f t="shared" ref="K7:K10" si="5">NETWORKDAYS(D7,E7)</f>
        <v>76</v>
      </c>
      <c r="L7" s="26" t="str">
        <f t="shared" ref="L7:L10" si="6">TEXT(E7,"mmmm")</f>
        <v>October</v>
      </c>
      <c r="M7" s="27">
        <f t="shared" ref="M7:M10" si="7">EOMONTH(E7,0)</f>
        <v>46326</v>
      </c>
      <c r="N7" s="27">
        <f t="shared" ref="N7:N10" si="8">EDATE(B7,3)</f>
        <v>44365</v>
      </c>
      <c r="O7" s="33">
        <f t="shared" ref="O7:O10" si="9">YEARFRAC(D7,E7)</f>
        <v>0.28611111111111109</v>
      </c>
    </row>
    <row r="8" spans="1:15" ht="16" x14ac:dyDescent="0.2">
      <c r="A8" s="2" t="s">
        <v>22</v>
      </c>
      <c r="B8" s="7">
        <v>43641</v>
      </c>
      <c r="C8" s="7">
        <v>35789</v>
      </c>
      <c r="D8" s="7">
        <v>46223</v>
      </c>
      <c r="E8" s="7">
        <v>46368</v>
      </c>
      <c r="F8" s="26">
        <f t="shared" ca="1" si="0"/>
        <v>28</v>
      </c>
      <c r="G8" s="26">
        <f t="shared" ca="1" si="1"/>
        <v>7</v>
      </c>
      <c r="H8" s="26" t="str">
        <f t="shared" si="2"/>
        <v>Tuesday</v>
      </c>
      <c r="I8" s="26" t="str">
        <f t="shared" si="3"/>
        <v>June</v>
      </c>
      <c r="J8" s="26">
        <f t="shared" si="4"/>
        <v>-145</v>
      </c>
      <c r="K8" s="26">
        <f t="shared" si="5"/>
        <v>105</v>
      </c>
      <c r="L8" s="26" t="str">
        <f t="shared" si="6"/>
        <v>December</v>
      </c>
      <c r="M8" s="27">
        <f t="shared" si="7"/>
        <v>46387</v>
      </c>
      <c r="N8" s="27">
        <f t="shared" si="8"/>
        <v>43733</v>
      </c>
      <c r="O8" s="33">
        <f t="shared" si="9"/>
        <v>0.39444444444444443</v>
      </c>
    </row>
    <row r="9" spans="1:15" ht="16" x14ac:dyDescent="0.2">
      <c r="A9" s="2" t="s">
        <v>24</v>
      </c>
      <c r="B9" s="7">
        <v>44604</v>
      </c>
      <c r="C9" s="7">
        <v>35103</v>
      </c>
      <c r="D9" s="7">
        <v>46228</v>
      </c>
      <c r="E9" s="7">
        <v>46344</v>
      </c>
      <c r="F9" s="26">
        <f t="shared" ca="1" si="0"/>
        <v>30</v>
      </c>
      <c r="G9" s="26">
        <f t="shared" ca="1" si="1"/>
        <v>4</v>
      </c>
      <c r="H9" s="26" t="str">
        <f t="shared" si="2"/>
        <v>Saturday</v>
      </c>
      <c r="I9" s="26" t="str">
        <f t="shared" si="3"/>
        <v>February</v>
      </c>
      <c r="J9" s="26">
        <f t="shared" si="4"/>
        <v>-116</v>
      </c>
      <c r="K9" s="26">
        <f t="shared" si="5"/>
        <v>83</v>
      </c>
      <c r="L9" s="26" t="str">
        <f t="shared" si="6"/>
        <v>November</v>
      </c>
      <c r="M9" s="27">
        <f t="shared" si="7"/>
        <v>46356</v>
      </c>
      <c r="N9" s="27">
        <f t="shared" si="8"/>
        <v>44693</v>
      </c>
      <c r="O9" s="33">
        <f t="shared" si="9"/>
        <v>0.31388888888888888</v>
      </c>
    </row>
    <row r="10" spans="1:15" ht="16" x14ac:dyDescent="0.2">
      <c r="A10" s="2" t="s">
        <v>26</v>
      </c>
      <c r="B10" s="7">
        <v>43320</v>
      </c>
      <c r="C10" s="7">
        <v>34925</v>
      </c>
      <c r="D10" s="7">
        <v>46233</v>
      </c>
      <c r="E10" s="7">
        <v>46409</v>
      </c>
      <c r="F10" s="26">
        <f t="shared" ca="1" si="0"/>
        <v>31</v>
      </c>
      <c r="G10" s="26">
        <f t="shared" ca="1" si="1"/>
        <v>8</v>
      </c>
      <c r="H10" s="26" t="str">
        <f t="shared" si="2"/>
        <v>Wednesday</v>
      </c>
      <c r="I10" s="26" t="str">
        <f t="shared" si="3"/>
        <v>August</v>
      </c>
      <c r="J10" s="26">
        <f t="shared" si="4"/>
        <v>-176</v>
      </c>
      <c r="K10" s="26">
        <f t="shared" si="5"/>
        <v>127</v>
      </c>
      <c r="L10" s="26" t="str">
        <f t="shared" si="6"/>
        <v>January</v>
      </c>
      <c r="M10" s="27">
        <f t="shared" si="7"/>
        <v>46418</v>
      </c>
      <c r="N10" s="27">
        <f t="shared" si="8"/>
        <v>43412</v>
      </c>
      <c r="O10" s="33">
        <f t="shared" si="9"/>
        <v>0.4777777777777778</v>
      </c>
    </row>
    <row r="12" spans="1:15" ht="19" x14ac:dyDescent="0.2">
      <c r="A12" s="14" t="s">
        <v>114</v>
      </c>
    </row>
    <row r="13" spans="1:15" x14ac:dyDescent="0.2">
      <c r="A13" s="15"/>
    </row>
    <row r="14" spans="1:15" x14ac:dyDescent="0.2">
      <c r="A14" s="15" t="s">
        <v>138</v>
      </c>
    </row>
    <row r="15" spans="1:15" x14ac:dyDescent="0.2">
      <c r="A15" s="15" t="s">
        <v>193</v>
      </c>
    </row>
    <row r="16" spans="1:15" x14ac:dyDescent="0.2">
      <c r="A16" s="15" t="s">
        <v>194</v>
      </c>
    </row>
    <row r="17" spans="1:1" x14ac:dyDescent="0.2">
      <c r="A17" s="15" t="s">
        <v>195</v>
      </c>
    </row>
    <row r="18" spans="1:1" x14ac:dyDescent="0.2">
      <c r="A18" s="15" t="s">
        <v>196</v>
      </c>
    </row>
    <row r="19" spans="1:1" x14ac:dyDescent="0.2">
      <c r="A19" s="15" t="s">
        <v>197</v>
      </c>
    </row>
    <row r="20" spans="1:1" x14ac:dyDescent="0.2">
      <c r="A20" s="15" t="s">
        <v>198</v>
      </c>
    </row>
    <row r="21" spans="1:1" x14ac:dyDescent="0.2">
      <c r="A21" s="15" t="s">
        <v>199</v>
      </c>
    </row>
    <row r="22" spans="1:1" x14ac:dyDescent="0.2">
      <c r="A22" s="15" t="s">
        <v>200</v>
      </c>
    </row>
    <row r="23" spans="1:1" x14ac:dyDescent="0.2">
      <c r="A23" s="1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karan dhakate</cp:lastModifiedBy>
  <dcterms:created xsi:type="dcterms:W3CDTF">2015-06-05T18:17:20Z</dcterms:created>
  <dcterms:modified xsi:type="dcterms:W3CDTF">2026-10-02T11:54:56Z</dcterms:modified>
</cp:coreProperties>
</file>